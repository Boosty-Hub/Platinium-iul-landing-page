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<sst xmlns="http://schemas.openxmlformats.org/spreadsheetml/2006/main" count="555" uniqueCount="14">
  <si>
    <t>GENERO</t>
  </si>
  <si>
    <t>EDAD</t>
  </si>
  <si>
    <t>MONTO</t>
  </si>
  <si>
    <t>ACUMULACION 10 ANOS</t>
  </si>
  <si>
    <t>ACUMULACION 20 ANOS</t>
  </si>
  <si>
    <t>CRITICA</t>
  </si>
  <si>
    <t>CRONICA</t>
  </si>
  <si>
    <t>TERMINAL</t>
  </si>
  <si>
    <t>ALZHEIMER</t>
  </si>
  <si>
    <t>BENEFICIO POR FALLECIMIENTO</t>
  </si>
  <si>
    <t>DB AT 65Y</t>
  </si>
  <si>
    <t>MASCULINO</t>
  </si>
  <si>
    <t>N/A</t>
  </si>
  <si>
    <t>FEMENINO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</si>
</sst>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0"/>
    <numFmt numFmtId="166" formatCode="&quot;$&quot;#,##0.00"/>
  </numFmts>
  <fonts count="8">
    <font>
      <sz val="10.0"/>
      <color rgb="FF000000"/>
      <name val="Arial"/>
      <scheme val="minor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>
      <sz val="14.0"/>
      <color theme="1"/>
      <name val="Arial"/>
    </font>
    <font>
      <color rgb="FF333333"/>
      <name val="Arial"/>
    </font>
    <font>
      <sz val="8.0"/>
      <color rgb="FF333333"/>
      <name val="Verdan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DF7E7"/>
        <bgColor rgb="FFFDF7E7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166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2" fontId="5" numFmtId="164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horizontal="right" shrinkToFit="0" vertical="bottom" wrapText="1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right" vertical="bottom"/>
    </xf>
    <xf borderId="0" fillId="2" fontId="6" numFmtId="164" xfId="0" applyAlignment="1" applyFont="1" applyNumberFormat="1">
      <alignment horizontal="right" vertical="bottom"/>
    </xf>
    <xf borderId="0" fillId="3" fontId="6" numFmtId="164" xfId="0" applyAlignment="1" applyFill="1" applyFont="1" applyNumberFormat="1">
      <alignment horizontal="right" vertical="bottom"/>
    </xf>
    <xf borderId="0" fillId="0" fontId="4" numFmtId="0" xfId="0" applyAlignment="1" applyFont="1">
      <alignment horizontal="center"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0" fontId="3" numFmtId="164" xfId="0" applyAlignment="1" applyFont="1" applyNumberFormat="1">
      <alignment shrinkToFit="0" vertical="bottom" wrapText="1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3" fontId="3" numFmtId="164" xfId="0" applyAlignment="1" applyFont="1" applyNumberFormat="1">
      <alignment horizontal="right" vertical="bottom"/>
    </xf>
    <xf borderId="0" fillId="2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7" numFmtId="164" xfId="0" applyFont="1" applyNumberFormat="1"/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>
      <c r="A2" s="5" t="s">
        <v>11</v>
      </c>
      <c r="B2" s="6">
        <v>18.0</v>
      </c>
      <c r="C2" s="7">
        <v>50.0</v>
      </c>
      <c r="D2" s="8">
        <v>2907.0</v>
      </c>
      <c r="E2" s="8">
        <v>10328.0</v>
      </c>
      <c r="F2" s="8">
        <v>151175.0</v>
      </c>
      <c r="G2" s="8">
        <v>2830.0</v>
      </c>
      <c r="H2" s="8">
        <v>162902.0</v>
      </c>
      <c r="I2" s="8">
        <v>144297.0</v>
      </c>
      <c r="J2" s="8">
        <v>95970.0</v>
      </c>
      <c r="K2" s="9"/>
      <c r="L2" s="9"/>
    </row>
    <row r="3">
      <c r="A3" s="5" t="s">
        <v>11</v>
      </c>
      <c r="B3" s="6">
        <v>18.0</v>
      </c>
      <c r="C3" s="7">
        <v>100.0</v>
      </c>
      <c r="D3" s="8">
        <v>6969.0</v>
      </c>
      <c r="E3" s="8">
        <v>23632.0</v>
      </c>
      <c r="F3" s="8">
        <v>325880.0</v>
      </c>
      <c r="G3" s="8">
        <v>6122.0</v>
      </c>
      <c r="H3" s="10">
        <v>349973.0</v>
      </c>
      <c r="I3" s="8">
        <v>311845.0</v>
      </c>
      <c r="J3" s="8">
        <v>191939.0</v>
      </c>
      <c r="K3" s="9"/>
      <c r="L3" s="9"/>
    </row>
    <row r="4">
      <c r="A4" s="5" t="s">
        <v>11</v>
      </c>
      <c r="B4" s="6">
        <v>18.0</v>
      </c>
      <c r="C4" s="7">
        <v>150.0</v>
      </c>
      <c r="D4" s="8">
        <v>13692.0</v>
      </c>
      <c r="E4" s="8">
        <v>42363.0</v>
      </c>
      <c r="F4" s="8">
        <v>543522.0</v>
      </c>
      <c r="G4" s="8">
        <v>10276.0</v>
      </c>
      <c r="H4" s="8">
        <v>580344.0</v>
      </c>
      <c r="I4" s="8">
        <v>522401.0</v>
      </c>
      <c r="J4" s="8">
        <v>287908.0</v>
      </c>
      <c r="K4" s="9"/>
      <c r="L4" s="9"/>
    </row>
    <row r="5">
      <c r="A5" s="5" t="s">
        <v>11</v>
      </c>
      <c r="B5" s="6">
        <v>18.0</v>
      </c>
      <c r="C5" s="7">
        <v>200.0</v>
      </c>
      <c r="D5" s="8">
        <v>18640.0</v>
      </c>
      <c r="E5" s="8">
        <v>57477.0</v>
      </c>
      <c r="F5" s="8">
        <v>732761.0</v>
      </c>
      <c r="G5" s="8">
        <v>13862.0</v>
      </c>
      <c r="H5" s="8">
        <v>781932.0</v>
      </c>
      <c r="I5" s="8">
        <v>704605.0</v>
      </c>
      <c r="J5" s="8">
        <v>383877.0</v>
      </c>
      <c r="K5" s="9"/>
      <c r="L5" s="9"/>
    </row>
    <row r="6">
      <c r="A6" s="5" t="s">
        <v>11</v>
      </c>
      <c r="B6" s="6">
        <v>18.0</v>
      </c>
      <c r="C6" s="7">
        <v>300.0</v>
      </c>
      <c r="D6" s="11">
        <v>23839.0</v>
      </c>
      <c r="E6" s="11">
        <v>87971.0</v>
      </c>
      <c r="F6" s="12">
        <f t="shared" ref="F6:F7" si="1">H6*92.5%</f>
        <v>1096923.963</v>
      </c>
      <c r="G6" s="12">
        <f t="shared" ref="G6:G7" si="2">H6*0.0172</f>
        <v>20396.8564</v>
      </c>
      <c r="H6" s="12">
        <f t="shared" ref="H6:H7" si="3">K6*86.2%</f>
        <v>1185863.744</v>
      </c>
      <c r="I6" s="12">
        <f t="shared" ref="I6:I7" si="4">H6*87.5%</f>
        <v>1037630.776</v>
      </c>
      <c r="J6" s="12">
        <v>575816.0</v>
      </c>
      <c r="K6" s="13">
        <v>1375712.0</v>
      </c>
      <c r="L6" s="9"/>
      <c r="N6" s="14"/>
      <c r="O6" s="4"/>
      <c r="P6" s="9"/>
    </row>
    <row r="7">
      <c r="A7" s="5" t="s">
        <v>11</v>
      </c>
      <c r="B7" s="6">
        <v>18.0</v>
      </c>
      <c r="C7" s="7">
        <v>400.0</v>
      </c>
      <c r="D7" s="8">
        <v>32123.0</v>
      </c>
      <c r="E7" s="8">
        <v>118290.0</v>
      </c>
      <c r="F7" s="12">
        <f t="shared" si="1"/>
        <v>1469920.306</v>
      </c>
      <c r="G7" s="12">
        <f t="shared" si="2"/>
        <v>27332.57218</v>
      </c>
      <c r="H7" s="12">
        <f t="shared" si="3"/>
        <v>1589103.034</v>
      </c>
      <c r="I7" s="12">
        <f t="shared" si="4"/>
        <v>1390465.155</v>
      </c>
      <c r="J7" s="8">
        <v>767755.0</v>
      </c>
      <c r="K7" s="13">
        <v>1843507.0</v>
      </c>
      <c r="L7" s="9"/>
      <c r="O7" s="9"/>
      <c r="P7" s="9"/>
    </row>
    <row r="8">
      <c r="A8" s="5" t="s">
        <v>11</v>
      </c>
      <c r="B8" s="6">
        <v>19.0</v>
      </c>
      <c r="C8" s="7">
        <v>50.0</v>
      </c>
      <c r="D8" s="8">
        <v>3044.0</v>
      </c>
      <c r="E8" s="8">
        <v>10571.0</v>
      </c>
      <c r="F8" s="8">
        <v>144387.0</v>
      </c>
      <c r="G8" s="8">
        <v>2701.0</v>
      </c>
      <c r="H8" s="8">
        <v>155660.0</v>
      </c>
      <c r="I8" s="8">
        <v>137772.0</v>
      </c>
      <c r="J8" s="8">
        <v>92765.0</v>
      </c>
      <c r="K8" s="9"/>
      <c r="L8" s="9"/>
    </row>
    <row r="9">
      <c r="A9" s="5" t="s">
        <v>11</v>
      </c>
      <c r="B9" s="6">
        <v>19.0</v>
      </c>
      <c r="C9" s="7">
        <v>100.0</v>
      </c>
      <c r="D9" s="8">
        <v>7242.0</v>
      </c>
      <c r="E9" s="8">
        <v>24119.0</v>
      </c>
      <c r="F9" s="8">
        <v>310577.0</v>
      </c>
      <c r="G9" s="8">
        <v>5831.0</v>
      </c>
      <c r="H9" s="8">
        <v>333770.0</v>
      </c>
      <c r="I9" s="8">
        <v>297044.0</v>
      </c>
      <c r="J9" s="8">
        <v>185529.0</v>
      </c>
      <c r="K9" s="9"/>
      <c r="L9" s="9"/>
    </row>
    <row r="10">
      <c r="A10" s="5" t="s">
        <v>11</v>
      </c>
      <c r="B10" s="6">
        <v>19.0</v>
      </c>
      <c r="C10" s="7">
        <v>150.0</v>
      </c>
      <c r="D10" s="8">
        <v>13857.0</v>
      </c>
      <c r="E10" s="8">
        <v>42621.0</v>
      </c>
      <c r="F10" s="8">
        <v>513952.0</v>
      </c>
      <c r="G10" s="8">
        <v>9705.0</v>
      </c>
      <c r="H10" s="8">
        <v>549387.0</v>
      </c>
      <c r="I10" s="8">
        <v>493559.0</v>
      </c>
      <c r="J10" s="8">
        <v>278293.0</v>
      </c>
      <c r="K10" s="9"/>
      <c r="L10" s="9"/>
    </row>
    <row r="11">
      <c r="A11" s="5" t="s">
        <v>11</v>
      </c>
      <c r="B11" s="6">
        <v>19.0</v>
      </c>
      <c r="C11" s="7">
        <v>200.0</v>
      </c>
      <c r="D11" s="8">
        <v>18861.0</v>
      </c>
      <c r="E11" s="8">
        <v>57820.0</v>
      </c>
      <c r="F11" s="8">
        <v>692745.0</v>
      </c>
      <c r="G11" s="8">
        <v>13089.0</v>
      </c>
      <c r="H11" s="8">
        <v>740074.0</v>
      </c>
      <c r="I11" s="8">
        <v>665553.0</v>
      </c>
      <c r="J11" s="8">
        <v>371058.0</v>
      </c>
      <c r="K11" s="9"/>
      <c r="L11" s="9"/>
    </row>
    <row r="12">
      <c r="A12" s="5" t="s">
        <v>11</v>
      </c>
      <c r="B12" s="6">
        <v>19.0</v>
      </c>
      <c r="C12" s="7">
        <v>300.0</v>
      </c>
      <c r="D12" s="8">
        <v>24141.0</v>
      </c>
      <c r="E12" s="8">
        <v>88487.0</v>
      </c>
      <c r="F12" s="12">
        <f t="shared" ref="F12:F13" si="5">H12*92.5%</f>
        <v>1038150.497</v>
      </c>
      <c r="G12" s="12">
        <f t="shared" ref="G12:G13" si="6">H12*0.0172</f>
        <v>19303.98763</v>
      </c>
      <c r="H12" s="12">
        <f t="shared" ref="H12:H13" si="7">K12*86.2%</f>
        <v>1122324.862</v>
      </c>
      <c r="I12" s="12">
        <f t="shared" ref="I12:I13" si="8">H12*87.5%</f>
        <v>982034.2543</v>
      </c>
      <c r="J12" s="8">
        <v>556587.0</v>
      </c>
      <c r="K12" s="13">
        <v>1302001.0</v>
      </c>
      <c r="L12" s="9"/>
    </row>
    <row r="13">
      <c r="A13" s="5" t="s">
        <v>11</v>
      </c>
      <c r="B13" s="6">
        <v>19.0</v>
      </c>
      <c r="C13" s="7">
        <v>400.0</v>
      </c>
      <c r="D13" s="8">
        <v>38940.0</v>
      </c>
      <c r="E13" s="8">
        <v>118978.0</v>
      </c>
      <c r="F13" s="12">
        <f t="shared" si="5"/>
        <v>1391032.89</v>
      </c>
      <c r="G13" s="12">
        <f t="shared" si="6"/>
        <v>25865.69265</v>
      </c>
      <c r="H13" s="12">
        <f t="shared" si="7"/>
        <v>1503819.34</v>
      </c>
      <c r="I13" s="12">
        <f t="shared" si="8"/>
        <v>1315841.923</v>
      </c>
      <c r="J13" s="8">
        <v>742115.0</v>
      </c>
      <c r="K13" s="13">
        <v>1744570.0</v>
      </c>
      <c r="L13" s="9"/>
    </row>
    <row r="14">
      <c r="A14" s="5" t="s">
        <v>11</v>
      </c>
      <c r="B14" s="6">
        <v>20.0</v>
      </c>
      <c r="C14" s="7">
        <v>50.0</v>
      </c>
      <c r="D14" s="8">
        <v>3187.0</v>
      </c>
      <c r="E14" s="8">
        <v>10827.0</v>
      </c>
      <c r="F14" s="8">
        <v>138002.0</v>
      </c>
      <c r="G14" s="8">
        <v>2581.0</v>
      </c>
      <c r="H14" s="8">
        <v>148849.0</v>
      </c>
      <c r="I14" s="8">
        <v>131632.0</v>
      </c>
      <c r="J14" s="8">
        <v>89767.0</v>
      </c>
      <c r="K14" s="9"/>
      <c r="L14" s="9"/>
    </row>
    <row r="15">
      <c r="A15" s="5" t="s">
        <v>11</v>
      </c>
      <c r="B15" s="6">
        <v>20.0</v>
      </c>
      <c r="C15" s="7">
        <v>100.0</v>
      </c>
      <c r="D15" s="8">
        <v>7527.0</v>
      </c>
      <c r="E15" s="8">
        <v>24630.0</v>
      </c>
      <c r="F15" s="8">
        <v>296245.0</v>
      </c>
      <c r="G15" s="8">
        <v>5558.0</v>
      </c>
      <c r="H15" s="8">
        <v>318561.0</v>
      </c>
      <c r="I15" s="8">
        <v>283208.0</v>
      </c>
      <c r="J15" s="8">
        <v>179533.0</v>
      </c>
      <c r="K15" s="9"/>
      <c r="L15" s="9"/>
    </row>
    <row r="16">
      <c r="A16" s="5" t="s">
        <v>11</v>
      </c>
      <c r="B16" s="6">
        <v>20.0</v>
      </c>
      <c r="C16" s="7">
        <v>150.0</v>
      </c>
      <c r="D16" s="8">
        <v>14068.0</v>
      </c>
      <c r="E16" s="8">
        <v>42961.0</v>
      </c>
      <c r="F16" s="8">
        <v>486468.0</v>
      </c>
      <c r="G16" s="8">
        <v>9174.0</v>
      </c>
      <c r="H16" s="8">
        <v>520613.0</v>
      </c>
      <c r="I16" s="8">
        <v>466754.0</v>
      </c>
      <c r="J16" s="8">
        <v>269300.0</v>
      </c>
      <c r="K16" s="9"/>
      <c r="L16" s="9"/>
    </row>
    <row r="17">
      <c r="A17" s="5" t="s">
        <v>11</v>
      </c>
      <c r="B17" s="6">
        <v>20.0</v>
      </c>
      <c r="C17" s="7">
        <v>200.0</v>
      </c>
      <c r="D17" s="8">
        <v>19142.0</v>
      </c>
      <c r="E17" s="8">
        <v>58273.0</v>
      </c>
      <c r="F17" s="8">
        <v>655580.0</v>
      </c>
      <c r="G17" s="8">
        <v>12371.0</v>
      </c>
      <c r="H17" s="8">
        <v>701179.0</v>
      </c>
      <c r="I17" s="8">
        <v>629296.0</v>
      </c>
      <c r="J17" s="8">
        <v>359067.0</v>
      </c>
      <c r="K17" s="9"/>
      <c r="L17" s="9"/>
    </row>
    <row r="18">
      <c r="A18" s="5" t="s">
        <v>11</v>
      </c>
      <c r="B18" s="6">
        <v>20.0</v>
      </c>
      <c r="C18" s="7">
        <v>300.0</v>
      </c>
      <c r="D18" s="8">
        <v>24528.0</v>
      </c>
      <c r="E18" s="8">
        <v>89171.0</v>
      </c>
      <c r="F18" s="12">
        <f t="shared" ref="F18:F19" si="9">H18*92.5%</f>
        <v>983536.0091</v>
      </c>
      <c r="G18" s="12">
        <f t="shared" ref="G18:G19" si="10">H18*0.0172</f>
        <v>18288.45336</v>
      </c>
      <c r="H18" s="12">
        <f t="shared" ref="H18:H19" si="11">K18*86.2%</f>
        <v>1063282.172</v>
      </c>
      <c r="I18" s="12">
        <f t="shared" ref="I18:I19" si="12">H18*87.5%</f>
        <v>930371.9005</v>
      </c>
      <c r="J18" s="8">
        <v>538600.0</v>
      </c>
      <c r="K18" s="13">
        <v>1233506.0</v>
      </c>
      <c r="L18" s="9"/>
    </row>
    <row r="19">
      <c r="A19" s="5" t="s">
        <v>11</v>
      </c>
      <c r="B19" s="6">
        <v>20.0</v>
      </c>
      <c r="C19" s="7">
        <v>400.0</v>
      </c>
      <c r="D19" s="8">
        <v>33041.0</v>
      </c>
      <c r="E19" s="8">
        <v>119890.0</v>
      </c>
      <c r="F19" s="12">
        <f t="shared" si="9"/>
        <v>1317726.923</v>
      </c>
      <c r="G19" s="12">
        <f t="shared" si="10"/>
        <v>24502.59791</v>
      </c>
      <c r="H19" s="12">
        <f t="shared" si="11"/>
        <v>1424569.646</v>
      </c>
      <c r="I19" s="12">
        <f t="shared" si="12"/>
        <v>1246498.44</v>
      </c>
      <c r="J19" s="8">
        <v>718133.0</v>
      </c>
      <c r="K19" s="13">
        <v>1652633.0</v>
      </c>
      <c r="L19" s="9"/>
    </row>
    <row r="20">
      <c r="A20" s="5" t="s">
        <v>11</v>
      </c>
      <c r="B20" s="6">
        <v>21.0</v>
      </c>
      <c r="C20" s="7">
        <v>50.0</v>
      </c>
      <c r="D20" s="8">
        <v>3457.0</v>
      </c>
      <c r="E20" s="8">
        <v>11319.0</v>
      </c>
      <c r="F20" s="8">
        <v>132883.0</v>
      </c>
      <c r="G20" s="8">
        <v>2485.0</v>
      </c>
      <c r="H20" s="8">
        <v>143335.0</v>
      </c>
      <c r="I20" s="8">
        <v>126746.0</v>
      </c>
      <c r="J20" s="8">
        <v>86505.0</v>
      </c>
      <c r="K20" s="9"/>
      <c r="L20" s="9"/>
    </row>
    <row r="21">
      <c r="A21" s="5" t="s">
        <v>11</v>
      </c>
      <c r="B21" s="6">
        <v>21.0</v>
      </c>
      <c r="C21" s="7">
        <v>100.0</v>
      </c>
      <c r="D21" s="8">
        <v>8068.0</v>
      </c>
      <c r="E21" s="8">
        <v>25614.0</v>
      </c>
      <c r="F21" s="8">
        <v>284583.0</v>
      </c>
      <c r="G21" s="8">
        <v>5338.0</v>
      </c>
      <c r="H21" s="8">
        <v>306063.0</v>
      </c>
      <c r="I21" s="8">
        <v>272031.0</v>
      </c>
      <c r="J21" s="8">
        <v>173011.0</v>
      </c>
      <c r="K21" s="9"/>
      <c r="L21" s="9"/>
    </row>
    <row r="22">
      <c r="A22" s="5" t="s">
        <v>11</v>
      </c>
      <c r="B22" s="6">
        <v>21.0</v>
      </c>
      <c r="C22" s="7">
        <v>150.0</v>
      </c>
      <c r="D22" s="8">
        <v>14455.0</v>
      </c>
      <c r="E22" s="8">
        <v>43636.0</v>
      </c>
      <c r="F22" s="8">
        <v>461780.0</v>
      </c>
      <c r="G22" s="8">
        <v>8701.0</v>
      </c>
      <c r="H22" s="8">
        <v>494595.0</v>
      </c>
      <c r="I22" s="8">
        <v>442792.0</v>
      </c>
      <c r="J22" s="8">
        <v>259516.0</v>
      </c>
      <c r="K22" s="9"/>
      <c r="L22" s="9"/>
    </row>
    <row r="23">
      <c r="A23" s="5" t="s">
        <v>11</v>
      </c>
      <c r="B23" s="6">
        <v>21.0</v>
      </c>
      <c r="C23" s="7">
        <v>200.0</v>
      </c>
      <c r="D23" s="8">
        <v>19657.0</v>
      </c>
      <c r="E23" s="8">
        <v>59173.0</v>
      </c>
      <c r="F23" s="8">
        <v>622178.0</v>
      </c>
      <c r="G23" s="8">
        <v>11731.0</v>
      </c>
      <c r="H23" s="8">
        <v>665995.0</v>
      </c>
      <c r="I23" s="8">
        <v>596865.0</v>
      </c>
      <c r="J23" s="8">
        <v>346021.0</v>
      </c>
      <c r="K23" s="9"/>
      <c r="L23" s="9"/>
    </row>
    <row r="24">
      <c r="A24" s="5" t="s">
        <v>11</v>
      </c>
      <c r="B24" s="6">
        <v>21.0</v>
      </c>
      <c r="C24" s="7">
        <v>300.0</v>
      </c>
      <c r="D24" s="8">
        <v>25244.0</v>
      </c>
      <c r="E24" s="8">
        <v>90527.0</v>
      </c>
      <c r="F24" s="12">
        <f t="shared" ref="F24:F25" si="13">H24*92.5%</f>
        <v>934048.4814</v>
      </c>
      <c r="G24" s="12">
        <f t="shared" ref="G24:G25" si="14">H24*0.0172</f>
        <v>17368.25284</v>
      </c>
      <c r="H24" s="12">
        <f t="shared" ref="H24:H25" si="15">K24*86.2%</f>
        <v>1009782.142</v>
      </c>
      <c r="I24" s="12">
        <f t="shared" ref="I24:I25" si="16">H24*87.5%</f>
        <v>883559.3743</v>
      </c>
      <c r="J24" s="8">
        <v>519031.0</v>
      </c>
      <c r="K24" s="13">
        <v>1171441.0</v>
      </c>
      <c r="L24" s="9"/>
    </row>
    <row r="25">
      <c r="A25" s="5" t="s">
        <v>11</v>
      </c>
      <c r="B25" s="6">
        <v>21.0</v>
      </c>
      <c r="C25" s="7">
        <v>400.0</v>
      </c>
      <c r="D25" s="8">
        <v>33996.0</v>
      </c>
      <c r="E25" s="8">
        <v>121698.0</v>
      </c>
      <c r="F25" s="12">
        <f t="shared" si="13"/>
        <v>1251290.923</v>
      </c>
      <c r="G25" s="12">
        <f t="shared" si="14"/>
        <v>23267.24744</v>
      </c>
      <c r="H25" s="12">
        <f t="shared" si="15"/>
        <v>1352746.944</v>
      </c>
      <c r="I25" s="12">
        <f t="shared" si="16"/>
        <v>1183653.576</v>
      </c>
      <c r="J25" s="8">
        <v>692042.0</v>
      </c>
      <c r="K25" s="13">
        <v>1569312.0</v>
      </c>
      <c r="L25" s="9"/>
    </row>
    <row r="26">
      <c r="A26" s="5" t="s">
        <v>11</v>
      </c>
      <c r="B26" s="6">
        <v>22.0</v>
      </c>
      <c r="C26" s="7">
        <v>50.0</v>
      </c>
      <c r="D26" s="8">
        <v>3703.0</v>
      </c>
      <c r="E26" s="8">
        <v>11765.0</v>
      </c>
      <c r="F26" s="8">
        <v>127887.0</v>
      </c>
      <c r="G26" s="8">
        <v>2391.0</v>
      </c>
      <c r="H26" s="8">
        <v>137970.0</v>
      </c>
      <c r="I26" s="8">
        <v>121964.0</v>
      </c>
      <c r="J26" s="8">
        <v>83612.0</v>
      </c>
      <c r="K26" s="9"/>
      <c r="L26" s="9"/>
    </row>
    <row r="27">
      <c r="A27" s="5" t="s">
        <v>11</v>
      </c>
      <c r="B27" s="6">
        <v>22.0</v>
      </c>
      <c r="C27" s="7">
        <v>100.0</v>
      </c>
      <c r="D27" s="8">
        <v>8561.0</v>
      </c>
      <c r="E27" s="8">
        <v>26507.0</v>
      </c>
      <c r="F27" s="8">
        <v>273253.0</v>
      </c>
      <c r="G27" s="8">
        <v>5124.0</v>
      </c>
      <c r="H27" s="8">
        <v>293963.0</v>
      </c>
      <c r="I27" s="8">
        <v>261144.0</v>
      </c>
      <c r="J27" s="8">
        <v>167224.0</v>
      </c>
      <c r="K27" s="9"/>
      <c r="L27" s="9"/>
    </row>
    <row r="28">
      <c r="A28" s="5" t="s">
        <v>11</v>
      </c>
      <c r="B28" s="6">
        <v>22.0</v>
      </c>
      <c r="C28" s="7">
        <v>150.0</v>
      </c>
      <c r="D28" s="8">
        <v>14796.0</v>
      </c>
      <c r="E28" s="8">
        <v>44227.0</v>
      </c>
      <c r="F28" s="8">
        <v>438659.0</v>
      </c>
      <c r="G28" s="8">
        <v>8258.0</v>
      </c>
      <c r="H28" s="8">
        <v>470228.0</v>
      </c>
      <c r="I28" s="8">
        <v>420352.0</v>
      </c>
      <c r="J28" s="8">
        <v>250836.0</v>
      </c>
      <c r="K28" s="9"/>
      <c r="L28" s="9"/>
    </row>
    <row r="29">
      <c r="A29" s="5" t="s">
        <v>11</v>
      </c>
      <c r="B29" s="6">
        <v>22.0</v>
      </c>
      <c r="C29" s="7">
        <v>200.0</v>
      </c>
      <c r="D29" s="8">
        <v>16887.0</v>
      </c>
      <c r="E29" s="8">
        <v>59961.0</v>
      </c>
      <c r="F29" s="8">
        <v>590802.0</v>
      </c>
      <c r="G29" s="8">
        <v>11128.0</v>
      </c>
      <c r="H29" s="8">
        <v>633011.0</v>
      </c>
      <c r="I29" s="8">
        <v>566355.0</v>
      </c>
      <c r="J29" s="8">
        <v>334448.0</v>
      </c>
      <c r="K29" s="9"/>
      <c r="L29" s="9"/>
    </row>
    <row r="30">
      <c r="A30" s="5" t="s">
        <v>11</v>
      </c>
      <c r="B30" s="6">
        <v>22.0</v>
      </c>
      <c r="C30" s="7">
        <v>300.0</v>
      </c>
      <c r="D30" s="8">
        <v>25876.0</v>
      </c>
      <c r="E30" s="8">
        <v>91715.0</v>
      </c>
      <c r="F30" s="12">
        <f t="shared" ref="F30:F31" si="17">H30*92.5%</f>
        <v>887684.1736</v>
      </c>
      <c r="G30" s="12">
        <f t="shared" ref="G30:G31" si="18">H30*0.0172</f>
        <v>16506.12734</v>
      </c>
      <c r="H30" s="12">
        <f t="shared" ref="H30:H31" si="19">K30*86.2%</f>
        <v>959658.566</v>
      </c>
      <c r="I30" s="12">
        <f t="shared" ref="I30:I31" si="20">H30*87.5%</f>
        <v>839701.2453</v>
      </c>
      <c r="J30" s="8">
        <v>501672.0</v>
      </c>
      <c r="K30" s="13">
        <v>1113293.0</v>
      </c>
      <c r="L30" s="9"/>
    </row>
    <row r="31">
      <c r="A31" s="5" t="s">
        <v>11</v>
      </c>
      <c r="B31" s="6">
        <v>22.0</v>
      </c>
      <c r="C31" s="7">
        <v>400.0</v>
      </c>
      <c r="D31" s="8">
        <v>34839.0</v>
      </c>
      <c r="E31" s="8">
        <v>123281.0</v>
      </c>
      <c r="F31" s="12">
        <f t="shared" si="17"/>
        <v>1189048.985</v>
      </c>
      <c r="G31" s="12">
        <f t="shared" si="18"/>
        <v>22109.88383</v>
      </c>
      <c r="H31" s="12">
        <f t="shared" si="19"/>
        <v>1285458.362</v>
      </c>
      <c r="I31" s="12">
        <f t="shared" si="20"/>
        <v>1124776.067</v>
      </c>
      <c r="J31" s="8">
        <v>668897.0</v>
      </c>
      <c r="K31" s="13">
        <v>1491251.0</v>
      </c>
      <c r="L31" s="9"/>
    </row>
    <row r="32">
      <c r="A32" s="5" t="s">
        <v>11</v>
      </c>
      <c r="B32" s="6">
        <v>23.0</v>
      </c>
      <c r="C32" s="7">
        <v>50.0</v>
      </c>
      <c r="D32" s="8">
        <v>3938.0</v>
      </c>
      <c r="E32" s="8">
        <v>12193.0</v>
      </c>
      <c r="F32" s="8">
        <v>123009.0</v>
      </c>
      <c r="G32" s="8">
        <v>2299.0</v>
      </c>
      <c r="H32" s="8">
        <v>132731.0</v>
      </c>
      <c r="I32" s="8">
        <v>117298.0</v>
      </c>
      <c r="J32" s="8">
        <v>80776.0</v>
      </c>
      <c r="K32" s="9"/>
      <c r="L32" s="9"/>
    </row>
    <row r="33">
      <c r="A33" s="5" t="s">
        <v>11</v>
      </c>
      <c r="B33" s="6">
        <v>23.0</v>
      </c>
      <c r="C33" s="7">
        <v>100.0</v>
      </c>
      <c r="D33" s="8">
        <v>9031.0</v>
      </c>
      <c r="E33" s="8">
        <v>27363.0</v>
      </c>
      <c r="F33" s="8">
        <v>262247.0</v>
      </c>
      <c r="G33" s="8">
        <v>4916.0</v>
      </c>
      <c r="H33" s="8">
        <v>282204.0</v>
      </c>
      <c r="I33" s="8">
        <v>250571.0</v>
      </c>
      <c r="J33" s="8">
        <v>161551.0</v>
      </c>
      <c r="K33" s="9"/>
      <c r="L33" s="9"/>
    </row>
    <row r="34">
      <c r="A34" s="5" t="s">
        <v>11</v>
      </c>
      <c r="B34" s="6">
        <v>23.0</v>
      </c>
      <c r="C34" s="7">
        <v>150.0</v>
      </c>
      <c r="D34" s="8">
        <v>14123.0</v>
      </c>
      <c r="E34" s="8">
        <v>42532.0</v>
      </c>
      <c r="F34" s="8">
        <v>401542.0</v>
      </c>
      <c r="G34" s="8">
        <v>7535.0</v>
      </c>
      <c r="H34" s="8">
        <v>431694.0</v>
      </c>
      <c r="I34" s="8">
        <v>383934.0</v>
      </c>
      <c r="J34" s="8">
        <v>242327.0</v>
      </c>
      <c r="K34" s="9"/>
      <c r="L34" s="9"/>
    </row>
    <row r="35">
      <c r="A35" s="5" t="s">
        <v>11</v>
      </c>
      <c r="B35" s="6">
        <v>23.0</v>
      </c>
      <c r="C35" s="7">
        <v>200.0</v>
      </c>
      <c r="D35" s="8">
        <v>20567.0</v>
      </c>
      <c r="E35" s="8">
        <v>60755.0</v>
      </c>
      <c r="F35" s="8">
        <v>561389.0</v>
      </c>
      <c r="G35" s="8">
        <v>10565.0</v>
      </c>
      <c r="H35" s="8">
        <v>601953.0</v>
      </c>
      <c r="I35" s="8">
        <v>537848.0</v>
      </c>
      <c r="J35" s="8">
        <v>323102.0</v>
      </c>
      <c r="K35" s="9"/>
      <c r="L35" s="9"/>
    </row>
    <row r="36">
      <c r="A36" s="5" t="s">
        <v>11</v>
      </c>
      <c r="B36" s="6">
        <v>23.0</v>
      </c>
      <c r="C36" s="7">
        <v>300.0</v>
      </c>
      <c r="D36" s="8">
        <v>26507.0</v>
      </c>
      <c r="E36" s="8">
        <v>92911.0</v>
      </c>
      <c r="F36" s="12">
        <f t="shared" ref="F36:F37" si="21">H36*92.5%</f>
        <v>843955.1075</v>
      </c>
      <c r="G36" s="12">
        <f t="shared" ref="G36:G37" si="22">H36*0.0172</f>
        <v>15693.00308</v>
      </c>
      <c r="H36" s="12">
        <f t="shared" ref="H36:H37" si="23">K36*86.2%</f>
        <v>912383.9</v>
      </c>
      <c r="I36" s="12">
        <f t="shared" ref="I36:I37" si="24">H36*87.5%</f>
        <v>798335.9125</v>
      </c>
      <c r="J36" s="8">
        <v>484653.0</v>
      </c>
      <c r="K36" s="13">
        <v>1058450.0</v>
      </c>
      <c r="L36" s="9"/>
    </row>
    <row r="37">
      <c r="A37" s="5" t="s">
        <v>11</v>
      </c>
      <c r="B37" s="6">
        <v>23.0</v>
      </c>
      <c r="C37" s="7">
        <v>400.0</v>
      </c>
      <c r="D37" s="8">
        <v>35680.0</v>
      </c>
      <c r="E37" s="8">
        <v>124877.0</v>
      </c>
      <c r="F37" s="12">
        <f t="shared" si="21"/>
        <v>1130349.673</v>
      </c>
      <c r="G37" s="12">
        <f t="shared" si="22"/>
        <v>21018.39391</v>
      </c>
      <c r="H37" s="12">
        <f t="shared" si="23"/>
        <v>1221999.646</v>
      </c>
      <c r="I37" s="12">
        <f t="shared" si="24"/>
        <v>1069249.69</v>
      </c>
      <c r="J37" s="8">
        <v>646204.0</v>
      </c>
      <c r="K37" s="13">
        <v>1417633.0</v>
      </c>
      <c r="L37" s="9"/>
    </row>
    <row r="38">
      <c r="A38" s="5" t="s">
        <v>11</v>
      </c>
      <c r="B38" s="6">
        <v>24.0</v>
      </c>
      <c r="C38" s="7">
        <v>50.0</v>
      </c>
      <c r="D38" s="8">
        <v>4152.0</v>
      </c>
      <c r="E38" s="8">
        <v>12581.0</v>
      </c>
      <c r="F38" s="8">
        <v>118297.0</v>
      </c>
      <c r="G38" s="8">
        <v>2211.0</v>
      </c>
      <c r="H38" s="8">
        <v>127677.0</v>
      </c>
      <c r="I38" s="8">
        <v>112785.0</v>
      </c>
      <c r="J38" s="8">
        <v>78247.0</v>
      </c>
      <c r="K38" s="9"/>
      <c r="L38" s="9"/>
    </row>
    <row r="39">
      <c r="A39" s="5" t="s">
        <v>11</v>
      </c>
      <c r="B39" s="6">
        <v>24.0</v>
      </c>
      <c r="C39" s="7">
        <v>100.0</v>
      </c>
      <c r="D39" s="15">
        <v>9459.0</v>
      </c>
      <c r="E39" s="15">
        <v>28138.0</v>
      </c>
      <c r="F39" s="8">
        <v>251636.0</v>
      </c>
      <c r="G39" s="8">
        <v>4715.0</v>
      </c>
      <c r="H39" s="8">
        <v>270900.0</v>
      </c>
      <c r="I39" s="8">
        <v>240357.0</v>
      </c>
      <c r="J39" s="15">
        <v>156495.0</v>
      </c>
      <c r="K39" s="9"/>
      <c r="L39" s="9"/>
    </row>
    <row r="40">
      <c r="A40" s="5" t="s">
        <v>11</v>
      </c>
      <c r="B40" s="6">
        <v>24.0</v>
      </c>
      <c r="C40" s="7">
        <v>150.0</v>
      </c>
      <c r="D40" s="15">
        <v>14765.0</v>
      </c>
      <c r="E40" s="15">
        <v>43695.0</v>
      </c>
      <c r="F40" s="8">
        <v>385052.0</v>
      </c>
      <c r="G40" s="8">
        <v>7222.0</v>
      </c>
      <c r="H40" s="8">
        <v>414145.0</v>
      </c>
      <c r="I40" s="8">
        <v>368048.0</v>
      </c>
      <c r="J40" s="15">
        <v>234742.0</v>
      </c>
      <c r="K40" s="9"/>
      <c r="L40" s="9"/>
    </row>
    <row r="41">
      <c r="A41" s="5" t="s">
        <v>11</v>
      </c>
      <c r="B41" s="6">
        <v>24.0</v>
      </c>
      <c r="C41" s="7">
        <v>200.0</v>
      </c>
      <c r="D41" s="15">
        <v>20965.0</v>
      </c>
      <c r="E41" s="15">
        <v>61443.0</v>
      </c>
      <c r="F41" s="8">
        <v>533817.0</v>
      </c>
      <c r="G41" s="8">
        <v>10037.0</v>
      </c>
      <c r="H41" s="8">
        <v>572890.0</v>
      </c>
      <c r="I41" s="8">
        <v>511094.0</v>
      </c>
      <c r="J41" s="15">
        <v>312989.0</v>
      </c>
      <c r="K41" s="9"/>
      <c r="L41" s="9"/>
    </row>
    <row r="42">
      <c r="A42" s="5" t="s">
        <v>11</v>
      </c>
      <c r="B42" s="6">
        <v>24.0</v>
      </c>
      <c r="C42" s="7">
        <v>300.0</v>
      </c>
      <c r="D42" s="8">
        <v>27060.0</v>
      </c>
      <c r="E42" s="8">
        <v>93948.0</v>
      </c>
      <c r="F42" s="12">
        <f t="shared" ref="F42:F43" si="25">H42*92.5%</f>
        <v>803051.8499</v>
      </c>
      <c r="G42" s="12">
        <f t="shared" ref="G42:G43" si="26">H42*0.0172</f>
        <v>14932.42359</v>
      </c>
      <c r="H42" s="12">
        <f t="shared" ref="H42:H43" si="27">K42*86.2%</f>
        <v>868164.162</v>
      </c>
      <c r="I42" s="12">
        <f t="shared" ref="I42:I43" si="28">H42*87.5%</f>
        <v>759643.6418</v>
      </c>
      <c r="J42" s="8">
        <v>469484.0</v>
      </c>
      <c r="K42" s="13">
        <v>1007151.0</v>
      </c>
      <c r="L42" s="9"/>
    </row>
    <row r="43">
      <c r="A43" s="5" t="s">
        <v>11</v>
      </c>
      <c r="B43" s="6">
        <v>24.0</v>
      </c>
      <c r="C43" s="7">
        <v>400.0</v>
      </c>
      <c r="D43" s="8">
        <v>36417.0</v>
      </c>
      <c r="E43" s="8">
        <v>126259.0</v>
      </c>
      <c r="F43" s="12">
        <f t="shared" si="25"/>
        <v>1075444.949</v>
      </c>
      <c r="G43" s="12">
        <f t="shared" si="26"/>
        <v>19997.46283</v>
      </c>
      <c r="H43" s="12">
        <f t="shared" si="27"/>
        <v>1162643.188</v>
      </c>
      <c r="I43" s="12">
        <f t="shared" si="28"/>
        <v>1017312.79</v>
      </c>
      <c r="J43" s="8">
        <v>625978.0</v>
      </c>
      <c r="K43" s="13">
        <v>1348774.0</v>
      </c>
      <c r="L43" s="9"/>
    </row>
    <row r="44">
      <c r="A44" s="5" t="s">
        <v>11</v>
      </c>
      <c r="B44" s="6">
        <v>25.0</v>
      </c>
      <c r="C44" s="7">
        <v>50.0</v>
      </c>
      <c r="D44" s="15">
        <v>4353.0</v>
      </c>
      <c r="E44" s="15">
        <v>12945.0</v>
      </c>
      <c r="F44" s="8">
        <v>113749.0</v>
      </c>
      <c r="G44" s="8">
        <v>2125.0</v>
      </c>
      <c r="H44" s="8">
        <v>122803.0</v>
      </c>
      <c r="I44" s="8">
        <v>108427.0</v>
      </c>
      <c r="J44" s="15">
        <v>75873.0</v>
      </c>
      <c r="K44" s="9"/>
      <c r="L44" s="9"/>
    </row>
    <row r="45">
      <c r="A45" s="5" t="s">
        <v>11</v>
      </c>
      <c r="B45" s="6">
        <v>25.0</v>
      </c>
      <c r="C45" s="7">
        <v>100.0</v>
      </c>
      <c r="D45" s="15">
        <v>9861.0</v>
      </c>
      <c r="E45" s="15">
        <v>28867.0</v>
      </c>
      <c r="F45" s="8">
        <v>241430.0</v>
      </c>
      <c r="G45" s="8">
        <v>4522.0</v>
      </c>
      <c r="H45" s="8">
        <v>260036.0</v>
      </c>
      <c r="I45" s="8">
        <v>230526.0</v>
      </c>
      <c r="J45" s="15">
        <v>151745.0</v>
      </c>
      <c r="K45" s="9"/>
      <c r="L45" s="9"/>
    </row>
    <row r="46">
      <c r="A46" s="5" t="s">
        <v>11</v>
      </c>
      <c r="B46" s="6">
        <v>25.0</v>
      </c>
      <c r="C46" s="7">
        <v>150.0</v>
      </c>
      <c r="D46" s="15">
        <v>15368.0</v>
      </c>
      <c r="E46" s="15">
        <v>44788.0</v>
      </c>
      <c r="F46" s="8">
        <v>369206.0</v>
      </c>
      <c r="G46" s="8">
        <v>6922.0</v>
      </c>
      <c r="H46" s="8">
        <v>397295.0</v>
      </c>
      <c r="I46" s="8">
        <v>352773.0</v>
      </c>
      <c r="J46" s="15">
        <v>227618.0</v>
      </c>
      <c r="K46" s="9"/>
      <c r="L46" s="9"/>
    </row>
    <row r="47">
      <c r="A47" s="5" t="s">
        <v>11</v>
      </c>
      <c r="B47" s="6">
        <v>25.0</v>
      </c>
      <c r="C47" s="7">
        <v>200.0</v>
      </c>
      <c r="D47" s="15">
        <v>21339.0</v>
      </c>
      <c r="E47" s="15">
        <v>62089.0</v>
      </c>
      <c r="F47" s="8">
        <v>507938.0</v>
      </c>
      <c r="G47" s="8">
        <v>9541.0</v>
      </c>
      <c r="H47" s="8">
        <v>545613.0</v>
      </c>
      <c r="I47" s="8">
        <v>485978.0</v>
      </c>
      <c r="J47" s="15">
        <v>303490.0</v>
      </c>
      <c r="K47" s="9"/>
      <c r="L47" s="9"/>
    </row>
    <row r="48">
      <c r="A48" s="5" t="s">
        <v>11</v>
      </c>
      <c r="B48" s="6">
        <v>25.0</v>
      </c>
      <c r="C48" s="7">
        <v>300.0</v>
      </c>
      <c r="D48" s="8">
        <v>27579.0</v>
      </c>
      <c r="E48" s="8">
        <v>94921.0</v>
      </c>
      <c r="F48" s="12">
        <f t="shared" ref="F48:F49" si="29">H48*92.5%</f>
        <v>764671.4076</v>
      </c>
      <c r="G48" s="12">
        <f t="shared" ref="G48:G49" si="30">H48*0.0172</f>
        <v>14218.75482</v>
      </c>
      <c r="H48" s="12">
        <f t="shared" ref="H48:H49" si="31">K48*86.2%</f>
        <v>826671.792</v>
      </c>
      <c r="I48" s="12">
        <f t="shared" ref="I48:I49" si="32">H48*87.5%</f>
        <v>723337.818</v>
      </c>
      <c r="J48" s="8">
        <v>455235.0</v>
      </c>
      <c r="K48" s="13">
        <v>959016.0</v>
      </c>
      <c r="L48" s="9"/>
    </row>
    <row r="49">
      <c r="A49" s="5" t="s">
        <v>11</v>
      </c>
      <c r="B49" s="6">
        <v>25.0</v>
      </c>
      <c r="C49" s="7">
        <v>400.0</v>
      </c>
      <c r="D49" s="8">
        <v>37109.0</v>
      </c>
      <c r="E49" s="8">
        <v>127557.0</v>
      </c>
      <c r="F49" s="12">
        <f t="shared" si="29"/>
        <v>1023930.557</v>
      </c>
      <c r="G49" s="12">
        <f t="shared" si="30"/>
        <v>19039.57361</v>
      </c>
      <c r="H49" s="12">
        <f t="shared" si="31"/>
        <v>1106951.954</v>
      </c>
      <c r="I49" s="12">
        <f t="shared" si="32"/>
        <v>968582.9598</v>
      </c>
      <c r="J49" s="8">
        <v>606980.0</v>
      </c>
      <c r="K49" s="13">
        <v>1284167.0</v>
      </c>
      <c r="L49" s="9"/>
    </row>
    <row r="50">
      <c r="A50" s="5" t="s">
        <v>11</v>
      </c>
      <c r="B50" s="6">
        <v>26.0</v>
      </c>
      <c r="C50" s="7">
        <v>50.0</v>
      </c>
      <c r="D50" s="15">
        <v>4442.0</v>
      </c>
      <c r="E50" s="8">
        <v>13105.0</v>
      </c>
      <c r="F50" s="8">
        <v>107662.0</v>
      </c>
      <c r="G50" s="8">
        <v>2011.0</v>
      </c>
      <c r="H50" s="8">
        <v>116274.0</v>
      </c>
      <c r="I50" s="8">
        <v>102598.0</v>
      </c>
      <c r="J50" s="15">
        <v>72569.0</v>
      </c>
      <c r="K50" s="9"/>
      <c r="L50" s="9"/>
    </row>
    <row r="51">
      <c r="A51" s="5" t="s">
        <v>11</v>
      </c>
      <c r="B51" s="6">
        <v>26.0</v>
      </c>
      <c r="C51" s="7">
        <v>100.0</v>
      </c>
      <c r="D51" s="15">
        <v>10037.0</v>
      </c>
      <c r="E51" s="15">
        <v>29187.0</v>
      </c>
      <c r="F51" s="8">
        <v>228248.0</v>
      </c>
      <c r="G51" s="8">
        <v>4273.0</v>
      </c>
      <c r="H51" s="8">
        <v>245945.0</v>
      </c>
      <c r="I51" s="8">
        <v>217871.0</v>
      </c>
      <c r="J51" s="15">
        <v>145138.0</v>
      </c>
      <c r="K51" s="9"/>
      <c r="L51" s="9"/>
    </row>
    <row r="52">
      <c r="A52" s="5" t="s">
        <v>11</v>
      </c>
      <c r="B52" s="6">
        <v>26.0</v>
      </c>
      <c r="C52" s="7">
        <v>150.0</v>
      </c>
      <c r="D52" s="15">
        <v>15633.0</v>
      </c>
      <c r="E52" s="15">
        <v>45269.0</v>
      </c>
      <c r="F52" s="8">
        <v>348887.0</v>
      </c>
      <c r="G52" s="8">
        <v>6537.0</v>
      </c>
      <c r="H52" s="8">
        <v>375630.0</v>
      </c>
      <c r="I52" s="8">
        <v>333224.0</v>
      </c>
      <c r="J52" s="15">
        <v>217707.0</v>
      </c>
      <c r="K52" s="9"/>
      <c r="L52" s="9"/>
    </row>
    <row r="53">
      <c r="A53" s="5" t="s">
        <v>11</v>
      </c>
      <c r="B53" s="6">
        <v>26.0</v>
      </c>
      <c r="C53" s="7">
        <v>200.0</v>
      </c>
      <c r="D53" s="15">
        <v>21752.0</v>
      </c>
      <c r="E53" s="15">
        <v>62808.0</v>
      </c>
      <c r="F53" s="8">
        <v>479809.0</v>
      </c>
      <c r="G53" s="8">
        <v>9007.0</v>
      </c>
      <c r="H53" s="8">
        <v>515693.0</v>
      </c>
      <c r="I53" s="8">
        <v>458866.0</v>
      </c>
      <c r="J53" s="15">
        <v>290276.0</v>
      </c>
      <c r="K53" s="9"/>
      <c r="L53" s="9"/>
    </row>
    <row r="54">
      <c r="A54" s="5" t="s">
        <v>11</v>
      </c>
      <c r="B54" s="6">
        <v>26.0</v>
      </c>
      <c r="C54" s="7">
        <v>300.0</v>
      </c>
      <c r="D54" s="8">
        <v>28167.0</v>
      </c>
      <c r="E54" s="8">
        <v>96005.0</v>
      </c>
      <c r="F54" s="12">
        <f t="shared" ref="F54:F55" si="33">H54*92.5%</f>
        <v>722615.9792</v>
      </c>
      <c r="G54" s="12">
        <f t="shared" ref="G54:G55" si="34">H54*0.0172</f>
        <v>13436.75118</v>
      </c>
      <c r="H54" s="12">
        <f t="shared" ref="H54:H55" si="35">K54*86.2%</f>
        <v>781206.464</v>
      </c>
      <c r="I54" s="12">
        <f t="shared" ref="I54:I55" si="36">H54*87.5%</f>
        <v>683555.656</v>
      </c>
      <c r="J54" s="8">
        <v>435414.0</v>
      </c>
      <c r="K54" s="8">
        <v>906272.0</v>
      </c>
      <c r="L54" s="9"/>
    </row>
    <row r="55">
      <c r="A55" s="5" t="s">
        <v>11</v>
      </c>
      <c r="B55" s="6">
        <v>26.0</v>
      </c>
      <c r="C55" s="7">
        <v>400.0</v>
      </c>
      <c r="D55" s="11">
        <v>37893.0</v>
      </c>
      <c r="E55" s="11">
        <v>129002.0</v>
      </c>
      <c r="F55" s="12">
        <f t="shared" si="33"/>
        <v>967538.7761</v>
      </c>
      <c r="G55" s="12">
        <f t="shared" si="34"/>
        <v>17990.9913</v>
      </c>
      <c r="H55" s="12">
        <f t="shared" si="35"/>
        <v>1045987.866</v>
      </c>
      <c r="I55" s="12">
        <f t="shared" si="36"/>
        <v>915239.3828</v>
      </c>
      <c r="J55" s="11">
        <v>580552.0</v>
      </c>
      <c r="K55" s="16">
        <v>1213443.0</v>
      </c>
      <c r="L55" s="9"/>
    </row>
    <row r="56">
      <c r="A56" s="5" t="s">
        <v>11</v>
      </c>
      <c r="B56" s="6">
        <v>27.0</v>
      </c>
      <c r="C56" s="7">
        <v>50.0</v>
      </c>
      <c r="D56" s="15">
        <v>4521.0</v>
      </c>
      <c r="E56" s="15">
        <v>13250.0</v>
      </c>
      <c r="F56" s="8">
        <v>102036.0</v>
      </c>
      <c r="G56" s="8">
        <v>1905.0</v>
      </c>
      <c r="H56" s="8">
        <v>110241.0</v>
      </c>
      <c r="I56" s="8">
        <v>97210.0</v>
      </c>
      <c r="J56" s="15">
        <v>69541.0</v>
      </c>
      <c r="K56" s="9"/>
      <c r="L56" s="9"/>
    </row>
    <row r="57">
      <c r="A57" s="5" t="s">
        <v>11</v>
      </c>
      <c r="B57" s="6">
        <v>27.0</v>
      </c>
      <c r="C57" s="7">
        <v>100.0</v>
      </c>
      <c r="D57" s="15">
        <v>10197.0</v>
      </c>
      <c r="E57" s="15">
        <v>29476.0</v>
      </c>
      <c r="F57" s="8">
        <v>216052.0</v>
      </c>
      <c r="G57" s="8">
        <v>232916.0</v>
      </c>
      <c r="H57" s="8">
        <v>232916.0</v>
      </c>
      <c r="I57" s="8">
        <v>206156.0</v>
      </c>
      <c r="J57" s="15">
        <v>139082.0</v>
      </c>
      <c r="K57" s="9"/>
      <c r="L57" s="9"/>
    </row>
    <row r="58">
      <c r="A58" s="5" t="s">
        <v>11</v>
      </c>
      <c r="B58" s="6">
        <v>27.0</v>
      </c>
      <c r="C58" s="7">
        <v>150.0</v>
      </c>
      <c r="D58" s="15">
        <v>15872.0</v>
      </c>
      <c r="E58" s="15">
        <v>45702.0</v>
      </c>
      <c r="F58" s="8">
        <v>330103.0</v>
      </c>
      <c r="G58" s="8">
        <v>6181.0</v>
      </c>
      <c r="H58" s="8">
        <v>355599.0</v>
      </c>
      <c r="I58" s="8">
        <v>315157.0</v>
      </c>
      <c r="J58" s="15">
        <v>208623.0</v>
      </c>
      <c r="K58" s="9"/>
      <c r="L58" s="9"/>
    </row>
    <row r="59">
      <c r="A59" s="5" t="s">
        <v>11</v>
      </c>
      <c r="B59" s="6">
        <v>27.0</v>
      </c>
      <c r="C59" s="7">
        <v>200.0</v>
      </c>
      <c r="D59" s="15">
        <v>22131.0</v>
      </c>
      <c r="E59" s="15">
        <v>63468.0</v>
      </c>
      <c r="F59" s="8">
        <v>453782.0</v>
      </c>
      <c r="G59" s="8">
        <v>8513.0</v>
      </c>
      <c r="H59" s="8">
        <v>487991.0</v>
      </c>
      <c r="I59" s="8">
        <v>433795.0</v>
      </c>
      <c r="J59" s="15">
        <v>278164.0</v>
      </c>
      <c r="K59" s="9"/>
      <c r="L59" s="9"/>
    </row>
    <row r="60">
      <c r="A60" s="5" t="s">
        <v>11</v>
      </c>
      <c r="B60" s="6">
        <v>27.0</v>
      </c>
      <c r="C60" s="7">
        <v>300.0</v>
      </c>
      <c r="D60" s="11">
        <v>28707.0</v>
      </c>
      <c r="E60" s="11">
        <v>96999.0</v>
      </c>
      <c r="F60" s="12">
        <f t="shared" ref="F60:F61" si="37">H60*92.5%</f>
        <v>683659.0529</v>
      </c>
      <c r="G60" s="12">
        <f t="shared" ref="G60:G61" si="38">H60*0.0172</f>
        <v>12712.36293</v>
      </c>
      <c r="H60" s="12">
        <f t="shared" ref="H60:H61" si="39">K60*86.2%</f>
        <v>739090.868</v>
      </c>
      <c r="I60" s="12">
        <f t="shared" ref="I60:I61" si="40">H60*87.5%</f>
        <v>646704.5095</v>
      </c>
      <c r="J60" s="11">
        <v>417246.0</v>
      </c>
      <c r="K60" s="17">
        <v>857414.0</v>
      </c>
      <c r="L60" s="9"/>
    </row>
    <row r="61">
      <c r="A61" s="5" t="s">
        <v>11</v>
      </c>
      <c r="B61" s="6">
        <v>27.0</v>
      </c>
      <c r="C61" s="7">
        <v>400.0</v>
      </c>
      <c r="D61" s="11">
        <v>38613.0</v>
      </c>
      <c r="E61" s="11">
        <v>130328.0</v>
      </c>
      <c r="F61" s="12">
        <f t="shared" si="37"/>
        <v>915300.3908</v>
      </c>
      <c r="G61" s="12">
        <f t="shared" si="38"/>
        <v>17019.6397</v>
      </c>
      <c r="H61" s="12">
        <f t="shared" si="39"/>
        <v>989513.936</v>
      </c>
      <c r="I61" s="12">
        <f t="shared" si="40"/>
        <v>865824.694</v>
      </c>
      <c r="J61" s="8">
        <v>556328.0</v>
      </c>
      <c r="K61" s="17">
        <v>1147928.0</v>
      </c>
      <c r="L61" s="9"/>
    </row>
    <row r="62">
      <c r="A62" s="5" t="s">
        <v>11</v>
      </c>
      <c r="B62" s="6">
        <v>28.0</v>
      </c>
      <c r="C62" s="7">
        <v>50.0</v>
      </c>
      <c r="D62" s="15">
        <v>4596.0</v>
      </c>
      <c r="E62" s="15">
        <v>13385.0</v>
      </c>
      <c r="F62" s="8">
        <v>96836.0</v>
      </c>
      <c r="G62" s="8">
        <v>1807.0</v>
      </c>
      <c r="H62" s="8">
        <v>104657.0</v>
      </c>
      <c r="I62" s="8">
        <v>92233.0</v>
      </c>
      <c r="J62" s="15">
        <v>66756.0</v>
      </c>
      <c r="K62" s="9"/>
      <c r="L62" s="9"/>
    </row>
    <row r="63">
      <c r="A63" s="5" t="s">
        <v>11</v>
      </c>
      <c r="B63" s="6">
        <v>28.0</v>
      </c>
      <c r="C63" s="7">
        <v>100.0</v>
      </c>
      <c r="D63" s="15">
        <v>10346.0</v>
      </c>
      <c r="E63" s="15">
        <v>29746.0</v>
      </c>
      <c r="F63" s="8">
        <v>204750.0</v>
      </c>
      <c r="G63" s="8">
        <v>3829.0</v>
      </c>
      <c r="H63" s="8">
        <v>220846.0</v>
      </c>
      <c r="I63" s="8">
        <v>195299.0</v>
      </c>
      <c r="J63" s="15">
        <v>133511.0</v>
      </c>
      <c r="K63" s="9"/>
      <c r="L63" s="9"/>
    </row>
    <row r="64">
      <c r="A64" s="5" t="s">
        <v>11</v>
      </c>
      <c r="B64" s="6">
        <v>28.0</v>
      </c>
      <c r="C64" s="7">
        <v>150.0</v>
      </c>
      <c r="D64" s="15">
        <v>16096.0</v>
      </c>
      <c r="E64" s="15">
        <v>46107.0</v>
      </c>
      <c r="F64" s="8">
        <v>312724.0</v>
      </c>
      <c r="G64" s="8">
        <v>5853.0</v>
      </c>
      <c r="H64" s="8">
        <v>337048.0</v>
      </c>
      <c r="I64" s="8">
        <v>298455.0</v>
      </c>
      <c r="J64" s="15">
        <v>200267.0</v>
      </c>
      <c r="K64" s="9"/>
      <c r="L64" s="9"/>
    </row>
    <row r="65">
      <c r="A65" s="5" t="s">
        <v>11</v>
      </c>
      <c r="B65" s="6">
        <v>28.0</v>
      </c>
      <c r="C65" s="7">
        <v>200.0</v>
      </c>
      <c r="D65" s="15">
        <v>22479.0</v>
      </c>
      <c r="E65" s="15">
        <v>64074.0</v>
      </c>
      <c r="F65" s="8">
        <v>429581.0</v>
      </c>
      <c r="G65" s="8">
        <v>8054.0</v>
      </c>
      <c r="H65" s="8">
        <v>462242.0</v>
      </c>
      <c r="I65" s="8">
        <v>410475.0</v>
      </c>
      <c r="J65" s="15">
        <v>267023.0</v>
      </c>
      <c r="K65" s="9"/>
      <c r="L65" s="9"/>
    </row>
    <row r="66">
      <c r="A66" s="5" t="s">
        <v>11</v>
      </c>
      <c r="B66" s="6">
        <v>28.0</v>
      </c>
      <c r="C66" s="7">
        <v>300.0</v>
      </c>
      <c r="D66" s="11">
        <v>29202.0</v>
      </c>
      <c r="E66" s="11">
        <v>97913.0</v>
      </c>
      <c r="F66" s="12">
        <f t="shared" ref="F66:F187" si="41">H66*92.5%</f>
        <v>647452.9841</v>
      </c>
      <c r="G66" s="12">
        <f t="shared" ref="G66:G187" si="42">H66*0.0172</f>
        <v>12039.12576</v>
      </c>
      <c r="H66" s="12">
        <f t="shared" ref="H66:H187" si="43">K66*86.2%</f>
        <v>699949.172</v>
      </c>
      <c r="I66" s="12">
        <f t="shared" ref="I66:I187" si="44">H66*87.5%</f>
        <v>612455.5255</v>
      </c>
      <c r="J66" s="11">
        <v>400534.0</v>
      </c>
      <c r="K66" s="16">
        <v>812006.0</v>
      </c>
      <c r="L66" s="9"/>
    </row>
    <row r="67">
      <c r="A67" s="5" t="s">
        <v>11</v>
      </c>
      <c r="B67" s="6">
        <v>28.0</v>
      </c>
      <c r="C67" s="7">
        <v>400.0</v>
      </c>
      <c r="D67" s="11">
        <v>39274.0</v>
      </c>
      <c r="E67" s="11">
        <v>131546.0</v>
      </c>
      <c r="F67" s="12">
        <f t="shared" si="41"/>
        <v>866748.952</v>
      </c>
      <c r="G67" s="12">
        <f t="shared" si="42"/>
        <v>16116.84538</v>
      </c>
      <c r="H67" s="12">
        <f t="shared" si="43"/>
        <v>937025.894</v>
      </c>
      <c r="I67" s="12">
        <f t="shared" si="44"/>
        <v>819897.6573</v>
      </c>
      <c r="J67" s="11">
        <v>534045.0</v>
      </c>
      <c r="K67" s="16">
        <v>1087037.0</v>
      </c>
      <c r="L67" s="9"/>
    </row>
    <row r="68">
      <c r="A68" s="5" t="s">
        <v>11</v>
      </c>
      <c r="B68" s="6">
        <v>29.0</v>
      </c>
      <c r="C68" s="7">
        <v>50.0</v>
      </c>
      <c r="D68" s="8">
        <v>3940.0</v>
      </c>
      <c r="E68" s="11">
        <v>13509.0</v>
      </c>
      <c r="F68" s="8">
        <f t="shared" si="41"/>
        <v>92030.137</v>
      </c>
      <c r="G68" s="8">
        <f t="shared" si="42"/>
        <v>1711.263088</v>
      </c>
      <c r="H68" s="8">
        <f t="shared" si="43"/>
        <v>99492.04</v>
      </c>
      <c r="I68" s="8">
        <f t="shared" si="44"/>
        <v>87055.535</v>
      </c>
      <c r="J68" s="8">
        <v>64185.0</v>
      </c>
      <c r="K68" s="17">
        <v>115420.0</v>
      </c>
      <c r="L68" s="9"/>
    </row>
    <row r="69">
      <c r="A69" s="5" t="s">
        <v>11</v>
      </c>
      <c r="B69" s="6">
        <v>29.0</v>
      </c>
      <c r="C69" s="7">
        <v>100.0</v>
      </c>
      <c r="D69" s="11">
        <v>8891.0</v>
      </c>
      <c r="E69" s="11">
        <v>29995.0</v>
      </c>
      <c r="F69" s="8">
        <f t="shared" si="41"/>
        <v>193656.3813</v>
      </c>
      <c r="G69" s="8">
        <f t="shared" si="42"/>
        <v>3600.9619</v>
      </c>
      <c r="H69" s="8">
        <f t="shared" si="43"/>
        <v>209358.25</v>
      </c>
      <c r="I69" s="8">
        <f t="shared" si="44"/>
        <v>183188.4688</v>
      </c>
      <c r="J69" s="8">
        <v>128370.0</v>
      </c>
      <c r="K69" s="17">
        <v>242875.0</v>
      </c>
      <c r="L69" s="9"/>
    </row>
    <row r="70">
      <c r="A70" s="5" t="s">
        <v>11</v>
      </c>
      <c r="B70" s="6">
        <v>29.0</v>
      </c>
      <c r="C70" s="7">
        <v>150.0</v>
      </c>
      <c r="D70" s="11">
        <v>13841.0</v>
      </c>
      <c r="E70" s="11">
        <v>46481.0</v>
      </c>
      <c r="F70" s="8">
        <f t="shared" si="41"/>
        <v>295281.8282</v>
      </c>
      <c r="G70" s="8">
        <f t="shared" si="42"/>
        <v>5490.645886</v>
      </c>
      <c r="H70" s="8">
        <f t="shared" si="43"/>
        <v>319223.598</v>
      </c>
      <c r="I70" s="8">
        <f t="shared" si="44"/>
        <v>279320.6483</v>
      </c>
      <c r="J70" s="8">
        <v>192555.0</v>
      </c>
      <c r="K70" s="17">
        <v>370329.0</v>
      </c>
      <c r="L70" s="9"/>
    </row>
    <row r="71">
      <c r="A71" s="5" t="s">
        <v>11</v>
      </c>
      <c r="B71" s="6">
        <v>29.0</v>
      </c>
      <c r="C71" s="7">
        <v>200.0</v>
      </c>
      <c r="D71" s="11">
        <v>19401.0</v>
      </c>
      <c r="E71" s="11">
        <v>64626.0</v>
      </c>
      <c r="F71" s="8">
        <f t="shared" si="41"/>
        <v>404455.7875</v>
      </c>
      <c r="G71" s="8">
        <f t="shared" si="42"/>
        <v>7520.6914</v>
      </c>
      <c r="H71" s="8">
        <f t="shared" si="43"/>
        <v>437249.5</v>
      </c>
      <c r="I71" s="8">
        <f t="shared" si="44"/>
        <v>382593.3125</v>
      </c>
      <c r="J71" s="8">
        <v>256739.0</v>
      </c>
      <c r="K71" s="17">
        <v>507250.0</v>
      </c>
      <c r="L71" s="9"/>
    </row>
    <row r="72">
      <c r="A72" s="5" t="s">
        <v>11</v>
      </c>
      <c r="B72" s="6">
        <v>29.0</v>
      </c>
      <c r="C72" s="7">
        <v>300.0</v>
      </c>
      <c r="D72" s="11">
        <v>29654.0</v>
      </c>
      <c r="E72" s="11">
        <v>98744.0</v>
      </c>
      <c r="F72" s="12">
        <f t="shared" si="41"/>
        <v>613688.401</v>
      </c>
      <c r="G72" s="12">
        <f t="shared" si="42"/>
        <v>11411.28702</v>
      </c>
      <c r="H72" s="12">
        <f t="shared" si="43"/>
        <v>663446.92</v>
      </c>
      <c r="I72" s="12">
        <f t="shared" si="44"/>
        <v>580516.055</v>
      </c>
      <c r="J72" s="11">
        <v>385109.0</v>
      </c>
      <c r="K72" s="17">
        <v>769660.0</v>
      </c>
      <c r="L72" s="9"/>
    </row>
    <row r="73">
      <c r="A73" s="5" t="s">
        <v>11</v>
      </c>
      <c r="B73" s="6">
        <v>29.0</v>
      </c>
      <c r="C73" s="7">
        <v>400.0</v>
      </c>
      <c r="D73" s="8">
        <v>39876.0</v>
      </c>
      <c r="E73" s="11">
        <v>132654.0</v>
      </c>
      <c r="F73" s="12">
        <f t="shared" si="41"/>
        <v>821472.2296</v>
      </c>
      <c r="G73" s="12">
        <f t="shared" si="42"/>
        <v>15274.94308</v>
      </c>
      <c r="H73" s="12">
        <f t="shared" si="43"/>
        <v>888078.086</v>
      </c>
      <c r="I73" s="12">
        <f t="shared" si="44"/>
        <v>777068.3253</v>
      </c>
      <c r="J73" s="11">
        <v>513479.0</v>
      </c>
      <c r="K73" s="17">
        <v>1030253.0</v>
      </c>
      <c r="L73" s="9"/>
    </row>
    <row r="74">
      <c r="A74" s="5" t="s">
        <v>11</v>
      </c>
      <c r="B74" s="6">
        <v>30.0</v>
      </c>
      <c r="C74" s="7">
        <v>50.0</v>
      </c>
      <c r="D74" s="11">
        <v>3999.0</v>
      </c>
      <c r="E74" s="11">
        <v>13623.0</v>
      </c>
      <c r="F74" s="8">
        <f t="shared" si="41"/>
        <v>87553.8141</v>
      </c>
      <c r="G74" s="8">
        <f t="shared" si="42"/>
        <v>1628.027678</v>
      </c>
      <c r="H74" s="8">
        <f t="shared" si="43"/>
        <v>94652.772</v>
      </c>
      <c r="I74" s="8">
        <f t="shared" si="44"/>
        <v>82821.1755</v>
      </c>
      <c r="J74" s="8">
        <v>61805.0</v>
      </c>
      <c r="K74" s="16">
        <v>109806.0</v>
      </c>
      <c r="L74" s="9"/>
    </row>
    <row r="75">
      <c r="A75" s="5" t="s">
        <v>11</v>
      </c>
      <c r="B75" s="6">
        <v>30.0</v>
      </c>
      <c r="C75" s="7">
        <v>100.0</v>
      </c>
      <c r="D75" s="11">
        <v>9009.0</v>
      </c>
      <c r="E75" s="11">
        <v>30222.0</v>
      </c>
      <c r="F75" s="8">
        <f t="shared" si="41"/>
        <v>183992.4993</v>
      </c>
      <c r="G75" s="8">
        <f t="shared" si="42"/>
        <v>3421.265932</v>
      </c>
      <c r="H75" s="8">
        <f t="shared" si="43"/>
        <v>198910.81</v>
      </c>
      <c r="I75" s="8">
        <f t="shared" si="44"/>
        <v>174046.9588</v>
      </c>
      <c r="J75" s="8">
        <v>123609.0</v>
      </c>
      <c r="K75" s="16">
        <v>230755.0</v>
      </c>
      <c r="L75" s="9"/>
    </row>
    <row r="76">
      <c r="A76" s="5" t="s">
        <v>11</v>
      </c>
      <c r="B76" s="6">
        <v>30.0</v>
      </c>
      <c r="C76" s="7">
        <v>150.0</v>
      </c>
      <c r="D76" s="11">
        <v>14019.0</v>
      </c>
      <c r="E76" s="11">
        <v>46821.0</v>
      </c>
      <c r="F76" s="8">
        <f t="shared" si="41"/>
        <v>280431.1844</v>
      </c>
      <c r="G76" s="8">
        <f t="shared" si="42"/>
        <v>5214.504186</v>
      </c>
      <c r="H76" s="8">
        <f t="shared" si="43"/>
        <v>303168.848</v>
      </c>
      <c r="I76" s="8">
        <f t="shared" si="44"/>
        <v>265272.742</v>
      </c>
      <c r="J76" s="8">
        <v>185414.0</v>
      </c>
      <c r="K76" s="16">
        <v>351704.0</v>
      </c>
      <c r="L76" s="9"/>
    </row>
    <row r="77">
      <c r="A77" s="5" t="s">
        <v>11</v>
      </c>
      <c r="B77" s="6">
        <v>30.0</v>
      </c>
      <c r="C77" s="7">
        <v>200.0</v>
      </c>
      <c r="D77" s="11">
        <v>19029.0</v>
      </c>
      <c r="E77" s="11">
        <v>63420.0</v>
      </c>
      <c r="F77" s="8">
        <f t="shared" si="41"/>
        <v>376869.8696</v>
      </c>
      <c r="G77" s="8">
        <f t="shared" si="42"/>
        <v>7007.742439</v>
      </c>
      <c r="H77" s="8">
        <f t="shared" si="43"/>
        <v>407426.886</v>
      </c>
      <c r="I77" s="8">
        <f t="shared" si="44"/>
        <v>356498.5253</v>
      </c>
      <c r="J77" s="8">
        <v>247219.0</v>
      </c>
      <c r="K77" s="16">
        <v>472653.0</v>
      </c>
      <c r="L77" s="9"/>
    </row>
    <row r="78">
      <c r="A78" s="5" t="s">
        <v>11</v>
      </c>
      <c r="B78" s="6">
        <v>30.0</v>
      </c>
      <c r="C78" s="7">
        <v>300.0</v>
      </c>
      <c r="D78" s="11">
        <v>30078.0</v>
      </c>
      <c r="E78" s="11">
        <v>99526.0</v>
      </c>
      <c r="F78" s="12">
        <f t="shared" si="41"/>
        <v>582189.8866</v>
      </c>
      <c r="G78" s="12">
        <f t="shared" si="42"/>
        <v>10825.58492</v>
      </c>
      <c r="H78" s="12">
        <f t="shared" si="43"/>
        <v>629394.472</v>
      </c>
      <c r="I78" s="12">
        <f t="shared" si="44"/>
        <v>550720.163</v>
      </c>
      <c r="J78" s="11">
        <v>370828.0</v>
      </c>
      <c r="K78" s="16">
        <v>730156.0</v>
      </c>
      <c r="L78" s="9"/>
    </row>
    <row r="79">
      <c r="A79" s="5" t="s">
        <v>11</v>
      </c>
      <c r="B79" s="6">
        <v>30.0</v>
      </c>
      <c r="C79" s="7">
        <v>400.0</v>
      </c>
      <c r="D79" s="11">
        <v>40441.0</v>
      </c>
      <c r="E79" s="11">
        <v>133696.0</v>
      </c>
      <c r="F79" s="12">
        <f t="shared" si="41"/>
        <v>779235.0054</v>
      </c>
      <c r="G79" s="12">
        <f t="shared" si="42"/>
        <v>14489.55902</v>
      </c>
      <c r="H79" s="12">
        <f t="shared" si="43"/>
        <v>842416.222</v>
      </c>
      <c r="I79" s="12">
        <f t="shared" si="44"/>
        <v>737114.1943</v>
      </c>
      <c r="J79" s="11">
        <v>494438.0</v>
      </c>
      <c r="K79" s="16">
        <v>977281.0</v>
      </c>
      <c r="L79" s="9"/>
    </row>
    <row r="80">
      <c r="A80" s="5" t="s">
        <v>11</v>
      </c>
      <c r="B80" s="6">
        <v>31.0</v>
      </c>
      <c r="C80" s="7">
        <v>50.0</v>
      </c>
      <c r="D80" s="8">
        <v>3984.0</v>
      </c>
      <c r="E80" s="8">
        <v>13548.0</v>
      </c>
      <c r="F80" s="8">
        <f t="shared" si="41"/>
        <v>81992.29785</v>
      </c>
      <c r="G80" s="8">
        <f t="shared" si="42"/>
        <v>1524.613538</v>
      </c>
      <c r="H80" s="8">
        <f t="shared" si="43"/>
        <v>88640.322</v>
      </c>
      <c r="I80" s="8">
        <f t="shared" si="44"/>
        <v>77560.28175</v>
      </c>
      <c r="J80" s="8">
        <v>58685.0</v>
      </c>
      <c r="K80" s="17">
        <v>102831.0</v>
      </c>
      <c r="L80" s="9"/>
    </row>
    <row r="81">
      <c r="A81" s="5" t="s">
        <v>11</v>
      </c>
      <c r="B81" s="6">
        <v>31.0</v>
      </c>
      <c r="C81" s="7">
        <v>100.0</v>
      </c>
      <c r="D81" s="11">
        <v>8979.0</v>
      </c>
      <c r="E81" s="11">
        <v>30071.0</v>
      </c>
      <c r="F81" s="8">
        <f t="shared" si="41"/>
        <v>172206.8689</v>
      </c>
      <c r="G81" s="8">
        <f t="shared" si="42"/>
        <v>3202.116914</v>
      </c>
      <c r="H81" s="8">
        <f t="shared" si="43"/>
        <v>186169.588</v>
      </c>
      <c r="I81" s="8">
        <f t="shared" si="44"/>
        <v>162898.3895</v>
      </c>
      <c r="J81" s="8">
        <v>117371.0</v>
      </c>
      <c r="K81" s="17">
        <v>215974.0</v>
      </c>
      <c r="L81" s="9"/>
    </row>
    <row r="82">
      <c r="A82" s="5" t="s">
        <v>11</v>
      </c>
      <c r="B82" s="6">
        <v>31.0</v>
      </c>
      <c r="C82" s="7">
        <v>150.0</v>
      </c>
      <c r="D82" s="11">
        <v>13974.0</v>
      </c>
      <c r="E82" s="11">
        <v>46595.0</v>
      </c>
      <c r="F82" s="8">
        <f t="shared" si="41"/>
        <v>262422.2373</v>
      </c>
      <c r="G82" s="8">
        <f t="shared" si="42"/>
        <v>4879.635115</v>
      </c>
      <c r="H82" s="8">
        <f t="shared" si="43"/>
        <v>283699.716</v>
      </c>
      <c r="I82" s="8">
        <f t="shared" si="44"/>
        <v>248237.2515</v>
      </c>
      <c r="J82" s="8">
        <v>176056.0</v>
      </c>
      <c r="K82" s="17">
        <v>329118.0</v>
      </c>
      <c r="L82" s="9"/>
    </row>
    <row r="83">
      <c r="A83" s="5" t="s">
        <v>11</v>
      </c>
      <c r="B83" s="6">
        <v>31.0</v>
      </c>
      <c r="C83" s="7">
        <v>200.0</v>
      </c>
      <c r="D83" s="11">
        <v>18968.0</v>
      </c>
      <c r="E83" s="11">
        <v>63119.0</v>
      </c>
      <c r="F83" s="8">
        <f t="shared" si="41"/>
        <v>352637.6057</v>
      </c>
      <c r="G83" s="8">
        <f t="shared" si="42"/>
        <v>6557.153317</v>
      </c>
      <c r="H83" s="8">
        <f t="shared" si="43"/>
        <v>381229.844</v>
      </c>
      <c r="I83" s="8">
        <f t="shared" si="44"/>
        <v>333576.1135</v>
      </c>
      <c r="J83" s="8">
        <v>234742.0</v>
      </c>
      <c r="K83" s="17">
        <v>442262.0</v>
      </c>
      <c r="L83" s="9"/>
    </row>
    <row r="84">
      <c r="A84" s="5" t="s">
        <v>11</v>
      </c>
      <c r="B84" s="6">
        <v>31.0</v>
      </c>
      <c r="C84" s="7">
        <v>300.0</v>
      </c>
      <c r="D84" s="11">
        <v>30020.0</v>
      </c>
      <c r="E84" s="11">
        <v>99221.0</v>
      </c>
      <c r="F84" s="12">
        <f t="shared" si="41"/>
        <v>544988.725</v>
      </c>
      <c r="G84" s="12">
        <f t="shared" si="42"/>
        <v>10133.8444</v>
      </c>
      <c r="H84" s="12">
        <f t="shared" si="43"/>
        <v>589177</v>
      </c>
      <c r="I84" s="12">
        <f t="shared" si="44"/>
        <v>515529.875</v>
      </c>
      <c r="J84" s="11">
        <v>352113.0</v>
      </c>
      <c r="K84" s="17">
        <v>683500.0</v>
      </c>
      <c r="L84" s="9"/>
    </row>
    <row r="85">
      <c r="A85" s="5" t="s">
        <v>11</v>
      </c>
      <c r="B85" s="6">
        <v>31.0</v>
      </c>
      <c r="C85" s="7">
        <v>400.0</v>
      </c>
      <c r="D85" s="11">
        <v>40364.0</v>
      </c>
      <c r="E85" s="11">
        <v>133290.0</v>
      </c>
      <c r="F85" s="12">
        <f t="shared" si="41"/>
        <v>729410.1986</v>
      </c>
      <c r="G85" s="12">
        <f t="shared" si="42"/>
        <v>13563.08694</v>
      </c>
      <c r="H85" s="12">
        <f t="shared" si="43"/>
        <v>788551.566</v>
      </c>
      <c r="I85" s="12">
        <f t="shared" si="44"/>
        <v>689982.6203</v>
      </c>
      <c r="J85" s="11">
        <v>469484.0</v>
      </c>
      <c r="K85" s="17">
        <v>914793.0</v>
      </c>
      <c r="L85" s="9"/>
    </row>
    <row r="86">
      <c r="A86" s="5" t="s">
        <v>11</v>
      </c>
      <c r="B86" s="6">
        <v>32.0</v>
      </c>
      <c r="C86" s="7">
        <v>50.0</v>
      </c>
      <c r="D86" s="8">
        <v>3967.0</v>
      </c>
      <c r="E86" s="8">
        <v>13472.0</v>
      </c>
      <c r="F86" s="8">
        <f t="shared" si="41"/>
        <v>77004.07625</v>
      </c>
      <c r="G86" s="8">
        <f t="shared" si="42"/>
        <v>1431.85958</v>
      </c>
      <c r="H86" s="8">
        <f t="shared" si="43"/>
        <v>83247.65</v>
      </c>
      <c r="I86" s="8">
        <f t="shared" si="44"/>
        <v>72841.69375</v>
      </c>
      <c r="J86" s="8">
        <v>55928.0</v>
      </c>
      <c r="K86" s="16">
        <v>96575.0</v>
      </c>
      <c r="L86" s="9"/>
    </row>
    <row r="87">
      <c r="A87" s="5" t="s">
        <v>11</v>
      </c>
      <c r="B87" s="6">
        <v>32.0</v>
      </c>
      <c r="C87" s="7">
        <v>100.0</v>
      </c>
      <c r="D87" s="8">
        <v>8945.0</v>
      </c>
      <c r="E87" s="8">
        <v>29921.0</v>
      </c>
      <c r="F87" s="8">
        <f t="shared" si="41"/>
        <v>161614.0742</v>
      </c>
      <c r="G87" s="8">
        <f t="shared" si="42"/>
        <v>3005.14819</v>
      </c>
      <c r="H87" s="8">
        <f t="shared" si="43"/>
        <v>174717.918</v>
      </c>
      <c r="I87" s="8">
        <f t="shared" si="44"/>
        <v>152878.1783</v>
      </c>
      <c r="J87" s="8">
        <v>111857.0</v>
      </c>
      <c r="K87" s="16">
        <v>202689.0</v>
      </c>
      <c r="L87" s="9"/>
    </row>
    <row r="88">
      <c r="A88" s="5" t="s">
        <v>11</v>
      </c>
      <c r="B88" s="6">
        <v>32.0</v>
      </c>
      <c r="C88" s="7">
        <v>150.0</v>
      </c>
      <c r="D88" s="11">
        <v>13923.0</v>
      </c>
      <c r="E88" s="11">
        <v>46369.0</v>
      </c>
      <c r="F88" s="8">
        <f t="shared" si="41"/>
        <v>246224.0721</v>
      </c>
      <c r="G88" s="8">
        <f t="shared" si="42"/>
        <v>4578.436799</v>
      </c>
      <c r="H88" s="8">
        <f t="shared" si="43"/>
        <v>266188.186</v>
      </c>
      <c r="I88" s="8">
        <f t="shared" si="44"/>
        <v>232914.6628</v>
      </c>
      <c r="J88" s="8">
        <v>167785.0</v>
      </c>
      <c r="K88" s="16">
        <v>308803.0</v>
      </c>
      <c r="L88" s="9"/>
    </row>
    <row r="89">
      <c r="A89" s="5" t="s">
        <v>11</v>
      </c>
      <c r="B89" s="6">
        <v>32.0</v>
      </c>
      <c r="C89" s="7">
        <v>200.0</v>
      </c>
      <c r="D89" s="8">
        <v>18901.0</v>
      </c>
      <c r="E89" s="11">
        <v>62817.0</v>
      </c>
      <c r="F89" s="8">
        <f t="shared" si="41"/>
        <v>330834.07</v>
      </c>
      <c r="G89" s="8">
        <f t="shared" si="42"/>
        <v>6151.725409</v>
      </c>
      <c r="H89" s="8">
        <f t="shared" si="43"/>
        <v>357658.454</v>
      </c>
      <c r="I89" s="8">
        <f t="shared" si="44"/>
        <v>312951.1473</v>
      </c>
      <c r="J89" s="8">
        <v>223714.0</v>
      </c>
      <c r="K89" s="16">
        <v>414917.0</v>
      </c>
      <c r="L89" s="9"/>
    </row>
    <row r="90">
      <c r="A90" s="5" t="s">
        <v>11</v>
      </c>
      <c r="B90" s="6">
        <v>32.0</v>
      </c>
      <c r="C90" s="7">
        <v>300.0</v>
      </c>
      <c r="D90" s="11">
        <v>29950.0</v>
      </c>
      <c r="E90" s="11">
        <v>98905.0</v>
      </c>
      <c r="F90" s="12">
        <f t="shared" si="41"/>
        <v>511375.6384</v>
      </c>
      <c r="G90" s="12">
        <f t="shared" si="42"/>
        <v>9508.822682</v>
      </c>
      <c r="H90" s="12">
        <f t="shared" si="43"/>
        <v>552838.528</v>
      </c>
      <c r="I90" s="12">
        <f t="shared" si="44"/>
        <v>483733.712</v>
      </c>
      <c r="J90" s="11">
        <v>335570.0</v>
      </c>
      <c r="K90" s="16">
        <v>641344.0</v>
      </c>
      <c r="L90" s="9"/>
    </row>
    <row r="91">
      <c r="A91" s="5" t="s">
        <v>11</v>
      </c>
      <c r="B91" s="6">
        <v>32.0</v>
      </c>
      <c r="C91" s="7">
        <v>400.0</v>
      </c>
      <c r="D91" s="11">
        <v>40271.0</v>
      </c>
      <c r="E91" s="11">
        <v>132868.0</v>
      </c>
      <c r="F91" s="12">
        <f t="shared" si="41"/>
        <v>684385.4388</v>
      </c>
      <c r="G91" s="12">
        <f t="shared" si="42"/>
        <v>12725.86978</v>
      </c>
      <c r="H91" s="12">
        <f t="shared" si="43"/>
        <v>739876.15</v>
      </c>
      <c r="I91" s="12">
        <f t="shared" si="44"/>
        <v>647391.6313</v>
      </c>
      <c r="J91" s="11">
        <v>447427.0</v>
      </c>
      <c r="K91" s="16">
        <v>858325.0</v>
      </c>
      <c r="L91" s="9"/>
    </row>
    <row r="92">
      <c r="A92" s="5" t="s">
        <v>11</v>
      </c>
      <c r="B92" s="18">
        <v>33.0</v>
      </c>
      <c r="C92" s="7">
        <v>50.0</v>
      </c>
      <c r="D92" s="12">
        <v>3955.0</v>
      </c>
      <c r="E92" s="12">
        <v>13411.0</v>
      </c>
      <c r="F92" s="12">
        <f t="shared" si="41"/>
        <v>72448.8157</v>
      </c>
      <c r="G92" s="12">
        <f t="shared" si="42"/>
        <v>1347.156357</v>
      </c>
      <c r="H92" s="12">
        <f t="shared" si="43"/>
        <v>78323.044</v>
      </c>
      <c r="I92" s="12">
        <f t="shared" si="44"/>
        <v>68532.6635</v>
      </c>
      <c r="J92" s="12">
        <v>53362.0</v>
      </c>
      <c r="K92" s="17">
        <v>90862.0</v>
      </c>
      <c r="L92" s="9"/>
    </row>
    <row r="93">
      <c r="A93" s="5" t="s">
        <v>11</v>
      </c>
      <c r="B93" s="18">
        <v>33.0</v>
      </c>
      <c r="C93" s="7">
        <v>100.0</v>
      </c>
      <c r="D93" s="11">
        <v>8921.0</v>
      </c>
      <c r="E93" s="11">
        <v>29798.0</v>
      </c>
      <c r="F93" s="12">
        <f t="shared" si="41"/>
        <v>151928.6637</v>
      </c>
      <c r="G93" s="12">
        <f t="shared" si="42"/>
        <v>2825.051909</v>
      </c>
      <c r="H93" s="12">
        <f t="shared" si="43"/>
        <v>164247.204</v>
      </c>
      <c r="I93" s="12">
        <f t="shared" si="44"/>
        <v>143716.3035</v>
      </c>
      <c r="J93" s="12">
        <v>106724.0</v>
      </c>
      <c r="K93" s="17">
        <v>190542.0</v>
      </c>
      <c r="L93" s="9"/>
    </row>
    <row r="94">
      <c r="A94" s="5" t="s">
        <v>11</v>
      </c>
      <c r="B94" s="18">
        <v>33.0</v>
      </c>
      <c r="C94" s="7">
        <v>150.0</v>
      </c>
      <c r="D94" s="12">
        <v>13886.0</v>
      </c>
      <c r="E94" s="11">
        <v>46185.0</v>
      </c>
      <c r="F94" s="12">
        <f t="shared" si="41"/>
        <v>231408.5117</v>
      </c>
      <c r="G94" s="12">
        <f t="shared" si="42"/>
        <v>4302.947461</v>
      </c>
      <c r="H94" s="12">
        <f t="shared" si="43"/>
        <v>250171.364</v>
      </c>
      <c r="I94" s="12">
        <f t="shared" si="44"/>
        <v>218899.9435</v>
      </c>
      <c r="J94" s="12">
        <v>160085.0</v>
      </c>
      <c r="K94" s="17">
        <v>290222.0</v>
      </c>
      <c r="L94" s="9"/>
    </row>
    <row r="95">
      <c r="A95" s="5" t="s">
        <v>11</v>
      </c>
      <c r="B95" s="18">
        <v>33.0</v>
      </c>
      <c r="C95" s="7">
        <v>200.0</v>
      </c>
      <c r="D95" s="11">
        <v>18852.0</v>
      </c>
      <c r="E95" s="11">
        <v>62572.0</v>
      </c>
      <c r="F95" s="12">
        <f t="shared" si="41"/>
        <v>310888.3597</v>
      </c>
      <c r="G95" s="12">
        <f t="shared" si="42"/>
        <v>5780.843013</v>
      </c>
      <c r="H95" s="12">
        <f t="shared" si="43"/>
        <v>336095.524</v>
      </c>
      <c r="I95" s="12">
        <f t="shared" si="44"/>
        <v>294083.5835</v>
      </c>
      <c r="J95" s="12">
        <v>213447.0</v>
      </c>
      <c r="K95" s="17">
        <v>389902.0</v>
      </c>
      <c r="L95" s="9"/>
    </row>
    <row r="96">
      <c r="A96" s="5" t="s">
        <v>11</v>
      </c>
      <c r="B96" s="18">
        <v>33.0</v>
      </c>
      <c r="C96" s="7">
        <v>300.0</v>
      </c>
      <c r="D96" s="11">
        <v>29898.0</v>
      </c>
      <c r="E96" s="11">
        <v>98646.0</v>
      </c>
      <c r="F96" s="12">
        <f t="shared" si="41"/>
        <v>480485.5021</v>
      </c>
      <c r="G96" s="12">
        <f t="shared" si="42"/>
        <v>8934.433119</v>
      </c>
      <c r="H96" s="12">
        <f t="shared" si="43"/>
        <v>519443.786</v>
      </c>
      <c r="I96" s="12">
        <f t="shared" si="44"/>
        <v>454513.3128</v>
      </c>
      <c r="J96" s="11">
        <v>320171.0</v>
      </c>
      <c r="K96" s="17">
        <v>602603.0</v>
      </c>
      <c r="L96" s="9"/>
    </row>
    <row r="97">
      <c r="A97" s="5" t="s">
        <v>11</v>
      </c>
      <c r="B97" s="18">
        <v>33.0</v>
      </c>
      <c r="C97" s="7">
        <v>400.0</v>
      </c>
      <c r="D97" s="11">
        <v>40201.0</v>
      </c>
      <c r="E97" s="11">
        <v>132524.0</v>
      </c>
      <c r="F97" s="12">
        <f t="shared" si="41"/>
        <v>643005.3658</v>
      </c>
      <c r="G97" s="12">
        <f t="shared" si="42"/>
        <v>11956.4241</v>
      </c>
      <c r="H97" s="12">
        <f t="shared" si="43"/>
        <v>695140.936</v>
      </c>
      <c r="I97" s="12">
        <f t="shared" si="44"/>
        <v>608248.319</v>
      </c>
      <c r="J97" s="11">
        <v>426894.0</v>
      </c>
      <c r="K97" s="17">
        <v>806428.0</v>
      </c>
      <c r="L97" s="9"/>
    </row>
    <row r="98">
      <c r="A98" s="5" t="s">
        <v>11</v>
      </c>
      <c r="B98" s="18">
        <v>34.0</v>
      </c>
      <c r="C98" s="7">
        <v>50.0</v>
      </c>
      <c r="D98" s="11">
        <v>3941.0</v>
      </c>
      <c r="E98" s="11">
        <v>13348.0</v>
      </c>
      <c r="F98" s="12">
        <f t="shared" si="41"/>
        <v>68318.5427</v>
      </c>
      <c r="G98" s="12">
        <f t="shared" si="42"/>
        <v>1270.355605</v>
      </c>
      <c r="H98" s="12">
        <f t="shared" si="43"/>
        <v>73857.884</v>
      </c>
      <c r="I98" s="12">
        <f t="shared" si="44"/>
        <v>64625.6485</v>
      </c>
      <c r="J98" s="12">
        <v>51072.0</v>
      </c>
      <c r="K98" s="16">
        <v>85682.0</v>
      </c>
      <c r="L98" s="9"/>
    </row>
    <row r="99">
      <c r="A99" s="5" t="s">
        <v>11</v>
      </c>
      <c r="B99" s="18">
        <v>34.0</v>
      </c>
      <c r="C99" s="7">
        <v>100.0</v>
      </c>
      <c r="D99" s="11">
        <v>8893.0</v>
      </c>
      <c r="E99" s="11">
        <v>29672.0</v>
      </c>
      <c r="F99" s="12">
        <f t="shared" si="41"/>
        <v>143133.0959</v>
      </c>
      <c r="G99" s="12">
        <f t="shared" si="42"/>
        <v>2661.50189</v>
      </c>
      <c r="H99" s="12">
        <f t="shared" si="43"/>
        <v>154738.482</v>
      </c>
      <c r="I99" s="12">
        <f t="shared" si="44"/>
        <v>135396.1718</v>
      </c>
      <c r="J99" s="12">
        <v>102145.0</v>
      </c>
      <c r="K99" s="16">
        <v>179511.0</v>
      </c>
      <c r="L99" s="9"/>
    </row>
    <row r="100">
      <c r="A100" s="5" t="s">
        <v>11</v>
      </c>
      <c r="B100" s="18">
        <v>34.0</v>
      </c>
      <c r="C100" s="7">
        <v>150.0</v>
      </c>
      <c r="D100" s="12">
        <v>13844.0</v>
      </c>
      <c r="E100" s="11">
        <v>45996.0</v>
      </c>
      <c r="F100" s="12">
        <f t="shared" si="41"/>
        <v>217946.8517</v>
      </c>
      <c r="G100" s="12">
        <f t="shared" si="42"/>
        <v>4052.63335</v>
      </c>
      <c r="H100" s="12">
        <f t="shared" si="43"/>
        <v>235618.218</v>
      </c>
      <c r="I100" s="12">
        <f t="shared" si="44"/>
        <v>206165.9408</v>
      </c>
      <c r="J100" s="12">
        <v>153217.0</v>
      </c>
      <c r="K100" s="16">
        <v>273339.0</v>
      </c>
      <c r="L100" s="9"/>
    </row>
    <row r="101">
      <c r="A101" s="5" t="s">
        <v>11</v>
      </c>
      <c r="B101" s="18">
        <v>34.0</v>
      </c>
      <c r="C101" s="7">
        <v>200.0</v>
      </c>
      <c r="D101" s="11">
        <v>18796.0</v>
      </c>
      <c r="E101" s="11">
        <v>62320.0</v>
      </c>
      <c r="F101" s="12">
        <f t="shared" si="41"/>
        <v>292761.4048</v>
      </c>
      <c r="G101" s="12">
        <f t="shared" si="42"/>
        <v>5443.779635</v>
      </c>
      <c r="H101" s="12">
        <f t="shared" si="43"/>
        <v>316498.816</v>
      </c>
      <c r="I101" s="12">
        <f t="shared" si="44"/>
        <v>276936.464</v>
      </c>
      <c r="J101" s="12">
        <v>204290.0</v>
      </c>
      <c r="K101" s="16">
        <v>367168.0</v>
      </c>
      <c r="L101" s="9"/>
    </row>
    <row r="102">
      <c r="A102" s="5" t="s">
        <v>11</v>
      </c>
      <c r="B102" s="18">
        <v>34.0</v>
      </c>
      <c r="C102" s="7">
        <v>300.0</v>
      </c>
      <c r="D102" s="11">
        <v>29839.0</v>
      </c>
      <c r="E102" s="11">
        <v>98382.0</v>
      </c>
      <c r="F102" s="12">
        <f t="shared" si="41"/>
        <v>452345.4259</v>
      </c>
      <c r="G102" s="12">
        <f t="shared" si="42"/>
        <v>8411.17981</v>
      </c>
      <c r="H102" s="12">
        <f t="shared" si="43"/>
        <v>489022.082</v>
      </c>
      <c r="I102" s="12">
        <f t="shared" si="44"/>
        <v>427894.3218</v>
      </c>
      <c r="J102" s="11">
        <v>306435.0</v>
      </c>
      <c r="K102" s="16">
        <v>567311.0</v>
      </c>
      <c r="L102" s="9"/>
    </row>
    <row r="103">
      <c r="A103" s="5" t="s">
        <v>11</v>
      </c>
      <c r="B103" s="18">
        <v>34.0</v>
      </c>
      <c r="C103" s="7">
        <v>400.0</v>
      </c>
      <c r="D103" s="11">
        <v>40123.0</v>
      </c>
      <c r="E103" s="11">
        <v>132171.0</v>
      </c>
      <c r="F103" s="12">
        <f t="shared" si="41"/>
        <v>605305.0631</v>
      </c>
      <c r="G103" s="12">
        <f t="shared" si="42"/>
        <v>11255.40225</v>
      </c>
      <c r="H103" s="12">
        <f t="shared" si="43"/>
        <v>654383.852</v>
      </c>
      <c r="I103" s="12">
        <f t="shared" si="44"/>
        <v>572585.8705</v>
      </c>
      <c r="J103" s="11">
        <v>408580.0</v>
      </c>
      <c r="K103" s="16">
        <v>759146.0</v>
      </c>
      <c r="L103" s="9"/>
    </row>
    <row r="104">
      <c r="A104" s="5" t="s">
        <v>11</v>
      </c>
      <c r="B104" s="18">
        <v>35.0</v>
      </c>
      <c r="C104" s="7">
        <v>50.0</v>
      </c>
      <c r="D104" s="12">
        <v>3869.0</v>
      </c>
      <c r="E104" s="11">
        <v>13147.0</v>
      </c>
      <c r="F104" s="12">
        <f t="shared" si="41"/>
        <v>65035.0554</v>
      </c>
      <c r="G104" s="12">
        <f t="shared" si="42"/>
        <v>1209.30049</v>
      </c>
      <c r="H104" s="12">
        <f t="shared" si="43"/>
        <v>70308.168</v>
      </c>
      <c r="I104" s="12">
        <f t="shared" si="44"/>
        <v>61519.647</v>
      </c>
      <c r="J104" s="12">
        <v>50000.0</v>
      </c>
      <c r="K104" s="17">
        <v>81564.0</v>
      </c>
      <c r="L104" s="9"/>
    </row>
    <row r="105">
      <c r="A105" s="5" t="s">
        <v>11</v>
      </c>
      <c r="B105" s="18">
        <v>35.0</v>
      </c>
      <c r="C105" s="7">
        <v>100.0</v>
      </c>
      <c r="D105" s="11">
        <v>8867.0</v>
      </c>
      <c r="E105" s="11">
        <v>29556.0</v>
      </c>
      <c r="F105" s="12">
        <f t="shared" si="41"/>
        <v>135063.1165</v>
      </c>
      <c r="G105" s="12">
        <f t="shared" si="42"/>
        <v>2511.443896</v>
      </c>
      <c r="H105" s="12">
        <f t="shared" si="43"/>
        <v>146014.18</v>
      </c>
      <c r="I105" s="12">
        <f t="shared" si="44"/>
        <v>127762.4075</v>
      </c>
      <c r="J105" s="12">
        <v>97943.0</v>
      </c>
      <c r="K105" s="17">
        <v>169390.0</v>
      </c>
      <c r="L105" s="9"/>
    </row>
    <row r="106">
      <c r="A106" s="5" t="s">
        <v>11</v>
      </c>
      <c r="B106" s="18">
        <v>35.0</v>
      </c>
      <c r="C106" s="7">
        <v>150.0</v>
      </c>
      <c r="D106" s="12">
        <v>13805.0</v>
      </c>
      <c r="E106" s="12">
        <v>45822.0</v>
      </c>
      <c r="F106" s="12">
        <f t="shared" si="41"/>
        <v>205592.7108</v>
      </c>
      <c r="G106" s="12">
        <f t="shared" si="42"/>
        <v>3822.913108</v>
      </c>
      <c r="H106" s="12">
        <f t="shared" si="43"/>
        <v>222262.39</v>
      </c>
      <c r="I106" s="12">
        <f t="shared" si="44"/>
        <v>194479.5913</v>
      </c>
      <c r="J106" s="12">
        <v>146915.0</v>
      </c>
      <c r="K106" s="17">
        <v>257845.0</v>
      </c>
      <c r="L106" s="9"/>
    </row>
    <row r="107">
      <c r="A107" s="5" t="s">
        <v>11</v>
      </c>
      <c r="B107" s="18">
        <v>35.0</v>
      </c>
      <c r="C107" s="7">
        <v>200.0</v>
      </c>
      <c r="D107" s="12">
        <v>18744.0</v>
      </c>
      <c r="E107" s="12">
        <v>62089.0</v>
      </c>
      <c r="F107" s="12">
        <f t="shared" si="41"/>
        <v>276122.305</v>
      </c>
      <c r="G107" s="12">
        <f t="shared" si="42"/>
        <v>5134.38232</v>
      </c>
      <c r="H107" s="12">
        <f t="shared" si="43"/>
        <v>298510.6</v>
      </c>
      <c r="I107" s="12">
        <f t="shared" si="44"/>
        <v>261196.775</v>
      </c>
      <c r="J107" s="12">
        <v>195886.0</v>
      </c>
      <c r="K107" s="17">
        <v>346300.0</v>
      </c>
      <c r="L107" s="9"/>
    </row>
    <row r="108">
      <c r="A108" s="5" t="s">
        <v>11</v>
      </c>
      <c r="B108" s="18">
        <v>35.0</v>
      </c>
      <c r="C108" s="7">
        <v>300.0</v>
      </c>
      <c r="D108" s="11">
        <v>29781.0</v>
      </c>
      <c r="E108" s="11">
        <v>98130.0</v>
      </c>
      <c r="F108" s="12">
        <f t="shared" si="41"/>
        <v>426428.3615</v>
      </c>
      <c r="G108" s="12">
        <f t="shared" si="42"/>
        <v>7929.262505</v>
      </c>
      <c r="H108" s="12">
        <f t="shared" si="43"/>
        <v>461003.634</v>
      </c>
      <c r="I108" s="12">
        <f t="shared" si="44"/>
        <v>403378.1798</v>
      </c>
      <c r="J108" s="11">
        <v>293829.0</v>
      </c>
      <c r="K108" s="17">
        <v>534807.0</v>
      </c>
      <c r="L108" s="9"/>
    </row>
    <row r="109">
      <c r="A109" s="5" t="s">
        <v>11</v>
      </c>
      <c r="B109" s="18">
        <v>35.0</v>
      </c>
      <c r="C109" s="7">
        <v>400.0</v>
      </c>
      <c r="D109" s="11">
        <v>40045.0</v>
      </c>
      <c r="E109" s="11">
        <v>131835.0</v>
      </c>
      <c r="F109" s="12">
        <f t="shared" si="41"/>
        <v>570582.0653</v>
      </c>
      <c r="G109" s="12">
        <f t="shared" si="42"/>
        <v>10609.74219</v>
      </c>
      <c r="H109" s="12">
        <f t="shared" si="43"/>
        <v>616845.476</v>
      </c>
      <c r="I109" s="12">
        <f t="shared" si="44"/>
        <v>539739.7915</v>
      </c>
      <c r="J109" s="11">
        <v>391773.0</v>
      </c>
      <c r="K109" s="17">
        <v>715598.0</v>
      </c>
      <c r="L109" s="9"/>
    </row>
    <row r="110">
      <c r="A110" s="5" t="s">
        <v>11</v>
      </c>
      <c r="B110" s="18">
        <v>36.0</v>
      </c>
      <c r="C110" s="7">
        <v>50.0</v>
      </c>
      <c r="D110" s="11">
        <v>3715.0</v>
      </c>
      <c r="E110" s="11">
        <v>12693.0</v>
      </c>
      <c r="F110" s="12">
        <f t="shared" si="41"/>
        <v>62184.52915</v>
      </c>
      <c r="G110" s="12">
        <f t="shared" si="42"/>
        <v>1156.29611</v>
      </c>
      <c r="H110" s="12">
        <f t="shared" si="43"/>
        <v>67226.518</v>
      </c>
      <c r="I110" s="12">
        <f t="shared" si="44"/>
        <v>58823.20325</v>
      </c>
      <c r="J110" s="12">
        <v>50000.0</v>
      </c>
      <c r="K110" s="16">
        <v>77989.0</v>
      </c>
      <c r="L110" s="9"/>
    </row>
    <row r="111">
      <c r="A111" s="5" t="s">
        <v>11</v>
      </c>
      <c r="B111" s="18">
        <v>36.0</v>
      </c>
      <c r="C111" s="7">
        <v>100.0</v>
      </c>
      <c r="D111" s="11">
        <v>8867.0</v>
      </c>
      <c r="E111" s="11">
        <v>29408.0</v>
      </c>
      <c r="F111" s="12">
        <f t="shared" si="41"/>
        <v>126411.0717</v>
      </c>
      <c r="G111" s="12">
        <f t="shared" si="42"/>
        <v>2350.56263</v>
      </c>
      <c r="H111" s="12">
        <f t="shared" si="43"/>
        <v>136660.618</v>
      </c>
      <c r="I111" s="12">
        <f t="shared" si="44"/>
        <v>119578.0408</v>
      </c>
      <c r="J111" s="12">
        <v>92937.0</v>
      </c>
      <c r="K111" s="16">
        <v>158539.0</v>
      </c>
      <c r="L111" s="9"/>
    </row>
    <row r="112">
      <c r="A112" s="5" t="s">
        <v>11</v>
      </c>
      <c r="B112" s="18">
        <v>36.0</v>
      </c>
      <c r="C112" s="7">
        <v>150.0</v>
      </c>
      <c r="D112" s="11">
        <v>13806.0</v>
      </c>
      <c r="E112" s="11">
        <v>13806.0</v>
      </c>
      <c r="F112" s="12">
        <f t="shared" si="41"/>
        <v>192382.216</v>
      </c>
      <c r="G112" s="12">
        <f t="shared" si="42"/>
        <v>3577.269313</v>
      </c>
      <c r="H112" s="12">
        <f t="shared" si="43"/>
        <v>207980.774</v>
      </c>
      <c r="I112" s="12">
        <f t="shared" si="44"/>
        <v>181983.1773</v>
      </c>
      <c r="J112" s="12">
        <v>139405.0</v>
      </c>
      <c r="K112" s="16">
        <v>241277.0</v>
      </c>
      <c r="L112" s="9"/>
    </row>
    <row r="113">
      <c r="A113" s="5" t="s">
        <v>11</v>
      </c>
      <c r="B113" s="18">
        <v>36.0</v>
      </c>
      <c r="C113" s="7">
        <v>200.0</v>
      </c>
      <c r="D113" s="11">
        <v>18745.0</v>
      </c>
      <c r="E113" s="11">
        <v>61792.0</v>
      </c>
      <c r="F113" s="12">
        <f t="shared" si="41"/>
        <v>258353.3603</v>
      </c>
      <c r="G113" s="12">
        <f t="shared" si="42"/>
        <v>4803.975996</v>
      </c>
      <c r="H113" s="12">
        <f t="shared" si="43"/>
        <v>279300.93</v>
      </c>
      <c r="I113" s="12">
        <f t="shared" si="44"/>
        <v>244388.3138</v>
      </c>
      <c r="J113" s="12">
        <v>185873.0</v>
      </c>
      <c r="K113" s="16">
        <v>324015.0</v>
      </c>
      <c r="L113" s="9"/>
    </row>
    <row r="114">
      <c r="A114" s="5" t="s">
        <v>11</v>
      </c>
      <c r="B114" s="18">
        <v>36.0</v>
      </c>
      <c r="C114" s="7">
        <v>300.0</v>
      </c>
      <c r="D114" s="11">
        <v>29670.0</v>
      </c>
      <c r="E114" s="11">
        <v>97522.0</v>
      </c>
      <c r="F114" s="12">
        <f t="shared" si="41"/>
        <v>398492.4069</v>
      </c>
      <c r="G114" s="12">
        <f t="shared" si="42"/>
        <v>7409.804754</v>
      </c>
      <c r="H114" s="12">
        <f t="shared" si="43"/>
        <v>430802.602</v>
      </c>
      <c r="I114" s="12">
        <f t="shared" si="44"/>
        <v>376952.2768</v>
      </c>
      <c r="J114" s="11">
        <v>278810.0</v>
      </c>
      <c r="K114" s="16">
        <v>499771.0</v>
      </c>
      <c r="L114" s="9"/>
    </row>
    <row r="115">
      <c r="A115" s="5" t="s">
        <v>11</v>
      </c>
      <c r="B115" s="18">
        <v>36.0</v>
      </c>
      <c r="C115" s="7">
        <v>400.0</v>
      </c>
      <c r="D115" s="11">
        <v>39898.0</v>
      </c>
      <c r="E115" s="11">
        <v>131025.0</v>
      </c>
      <c r="F115" s="12">
        <f t="shared" si="41"/>
        <v>533176.7821</v>
      </c>
      <c r="G115" s="12">
        <f t="shared" si="42"/>
        <v>9914.20611</v>
      </c>
      <c r="H115" s="12">
        <f t="shared" si="43"/>
        <v>576407.332</v>
      </c>
      <c r="I115" s="12">
        <f t="shared" si="44"/>
        <v>504356.4155</v>
      </c>
      <c r="J115" s="11">
        <v>371747.0</v>
      </c>
      <c r="K115" s="16">
        <v>668686.0</v>
      </c>
      <c r="L115" s="9"/>
    </row>
    <row r="116">
      <c r="A116" s="5" t="s">
        <v>11</v>
      </c>
      <c r="B116" s="18">
        <v>37.0</v>
      </c>
      <c r="C116" s="7">
        <v>50.0</v>
      </c>
      <c r="D116" s="11">
        <v>3561.0</v>
      </c>
      <c r="E116" s="11">
        <v>12240.0</v>
      </c>
      <c r="F116" s="12">
        <f t="shared" si="41"/>
        <v>59656.1323</v>
      </c>
      <c r="G116" s="12">
        <f t="shared" si="42"/>
        <v>1109.281595</v>
      </c>
      <c r="H116" s="12">
        <f t="shared" si="43"/>
        <v>64493.116</v>
      </c>
      <c r="I116" s="12">
        <f t="shared" si="44"/>
        <v>56431.4765</v>
      </c>
      <c r="J116" s="12">
        <v>50000.0</v>
      </c>
      <c r="K116" s="17">
        <v>74818.0</v>
      </c>
      <c r="L116" s="9"/>
    </row>
    <row r="117">
      <c r="A117" s="5" t="s">
        <v>11</v>
      </c>
      <c r="B117" s="18">
        <v>37.0</v>
      </c>
      <c r="C117" s="7">
        <v>100.0</v>
      </c>
      <c r="D117" s="11">
        <v>8869.0</v>
      </c>
      <c r="E117" s="11">
        <v>29276.0</v>
      </c>
      <c r="F117" s="12">
        <f t="shared" si="41"/>
        <v>118593.0549</v>
      </c>
      <c r="G117" s="12">
        <f t="shared" si="42"/>
        <v>2205.189778</v>
      </c>
      <c r="H117" s="12">
        <f t="shared" si="43"/>
        <v>128208.708</v>
      </c>
      <c r="I117" s="12">
        <f t="shared" si="44"/>
        <v>112182.6195</v>
      </c>
      <c r="J117" s="12">
        <v>88417.0</v>
      </c>
      <c r="K117" s="17">
        <v>148734.0</v>
      </c>
      <c r="L117" s="9"/>
    </row>
    <row r="118">
      <c r="A118" s="5" t="s">
        <v>11</v>
      </c>
      <c r="B118" s="18">
        <v>37.0</v>
      </c>
      <c r="C118" s="7">
        <v>150.0</v>
      </c>
      <c r="D118" s="11">
        <v>13809.0</v>
      </c>
      <c r="E118" s="11">
        <v>45403.0</v>
      </c>
      <c r="F118" s="12">
        <f t="shared" si="41"/>
        <v>180438.7103</v>
      </c>
      <c r="G118" s="12">
        <f t="shared" si="42"/>
        <v>3355.184667</v>
      </c>
      <c r="H118" s="12">
        <f t="shared" si="43"/>
        <v>195068.876</v>
      </c>
      <c r="I118" s="12">
        <f t="shared" si="44"/>
        <v>170685.2665</v>
      </c>
      <c r="J118" s="12">
        <v>132626.0</v>
      </c>
      <c r="K118" s="17">
        <v>226298.0</v>
      </c>
      <c r="L118" s="9"/>
    </row>
    <row r="119">
      <c r="A119" s="5" t="s">
        <v>11</v>
      </c>
      <c r="B119" s="18">
        <v>37.0</v>
      </c>
      <c r="C119" s="7">
        <v>200.0</v>
      </c>
      <c r="D119" s="11">
        <v>18749.0</v>
      </c>
      <c r="E119" s="11">
        <v>61529.0</v>
      </c>
      <c r="F119" s="12">
        <f t="shared" si="41"/>
        <v>242283.5684</v>
      </c>
      <c r="G119" s="12">
        <f t="shared" si="42"/>
        <v>4505.16473</v>
      </c>
      <c r="H119" s="12">
        <f t="shared" si="43"/>
        <v>261928.182</v>
      </c>
      <c r="I119" s="12">
        <f t="shared" si="44"/>
        <v>229187.1593</v>
      </c>
      <c r="J119" s="12">
        <v>176835.0</v>
      </c>
      <c r="K119" s="17">
        <v>303861.0</v>
      </c>
      <c r="L119" s="9"/>
    </row>
    <row r="120">
      <c r="A120" s="5" t="s">
        <v>11</v>
      </c>
      <c r="B120" s="18">
        <v>37.0</v>
      </c>
      <c r="C120" s="7">
        <v>300.0</v>
      </c>
      <c r="D120" s="11">
        <v>29570.0</v>
      </c>
      <c r="E120" s="11">
        <v>96974.0</v>
      </c>
      <c r="F120" s="12">
        <f t="shared" si="41"/>
        <v>373193.2887</v>
      </c>
      <c r="G120" s="12">
        <f t="shared" si="42"/>
        <v>6939.377909</v>
      </c>
      <c r="H120" s="12">
        <f t="shared" si="43"/>
        <v>403452.204</v>
      </c>
      <c r="I120" s="12">
        <f t="shared" si="44"/>
        <v>353020.6785</v>
      </c>
      <c r="J120" s="11">
        <v>265252.0</v>
      </c>
      <c r="K120" s="17">
        <v>468042.0</v>
      </c>
      <c r="L120" s="9"/>
    </row>
    <row r="121">
      <c r="A121" s="5" t="s">
        <v>11</v>
      </c>
      <c r="B121" s="18">
        <v>37.0</v>
      </c>
      <c r="C121" s="7">
        <v>400.0</v>
      </c>
      <c r="D121" s="11">
        <v>39764.0</v>
      </c>
      <c r="E121" s="11">
        <v>130294.0</v>
      </c>
      <c r="F121" s="12">
        <f t="shared" si="41"/>
        <v>499298.9753</v>
      </c>
      <c r="G121" s="12">
        <f t="shared" si="42"/>
        <v>9284.262027</v>
      </c>
      <c r="H121" s="12">
        <f t="shared" si="43"/>
        <v>539782.676</v>
      </c>
      <c r="I121" s="12">
        <f t="shared" si="44"/>
        <v>472309.8415</v>
      </c>
      <c r="J121" s="11">
        <v>353669.0</v>
      </c>
      <c r="K121" s="17">
        <v>626198.0</v>
      </c>
      <c r="L121" s="9"/>
    </row>
    <row r="122">
      <c r="A122" s="5" t="s">
        <v>11</v>
      </c>
      <c r="B122" s="18">
        <v>38.0</v>
      </c>
      <c r="C122" s="7">
        <v>50.0</v>
      </c>
      <c r="D122" s="11">
        <v>3407.0</v>
      </c>
      <c r="E122" s="11">
        <v>11785.0</v>
      </c>
      <c r="F122" s="12">
        <f t="shared" si="41"/>
        <v>57406.80795</v>
      </c>
      <c r="G122" s="12">
        <f t="shared" si="42"/>
        <v>1067.456321</v>
      </c>
      <c r="H122" s="12">
        <f t="shared" si="43"/>
        <v>62061.414</v>
      </c>
      <c r="I122" s="12">
        <f t="shared" si="44"/>
        <v>54303.73725</v>
      </c>
      <c r="J122" s="12">
        <v>50000.0</v>
      </c>
      <c r="K122" s="16">
        <v>71997.0</v>
      </c>
      <c r="L122" s="9"/>
    </row>
    <row r="123">
      <c r="A123" s="5" t="s">
        <v>11</v>
      </c>
      <c r="B123" s="18">
        <v>38.0</v>
      </c>
      <c r="C123" s="7">
        <v>100.0</v>
      </c>
      <c r="D123" s="11">
        <v>8870.0</v>
      </c>
      <c r="E123" s="11">
        <v>29155.0</v>
      </c>
      <c r="F123" s="12">
        <f t="shared" si="41"/>
        <v>111475.9088</v>
      </c>
      <c r="G123" s="12">
        <f t="shared" si="42"/>
        <v>2072.849331</v>
      </c>
      <c r="H123" s="12">
        <f t="shared" si="43"/>
        <v>120514.496</v>
      </c>
      <c r="I123" s="12">
        <f t="shared" si="44"/>
        <v>105450.184</v>
      </c>
      <c r="J123" s="12">
        <v>84317.0</v>
      </c>
      <c r="K123" s="16">
        <v>139808.0</v>
      </c>
      <c r="L123" s="9"/>
    </row>
    <row r="124">
      <c r="A124" s="5" t="s">
        <v>11</v>
      </c>
      <c r="B124" s="18">
        <v>38.0</v>
      </c>
      <c r="C124" s="7">
        <v>150.0</v>
      </c>
      <c r="D124" s="11">
        <v>13810.0</v>
      </c>
      <c r="E124" s="11">
        <v>45220.0</v>
      </c>
      <c r="F124" s="12">
        <f t="shared" si="41"/>
        <v>169560.4643</v>
      </c>
      <c r="G124" s="12">
        <f t="shared" si="42"/>
        <v>3152.908092</v>
      </c>
      <c r="H124" s="12">
        <f t="shared" si="43"/>
        <v>183308.61</v>
      </c>
      <c r="I124" s="12">
        <f t="shared" si="44"/>
        <v>160395.0338</v>
      </c>
      <c r="J124" s="12">
        <v>126475.0</v>
      </c>
      <c r="K124" s="16">
        <v>212655.0</v>
      </c>
      <c r="L124" s="9"/>
    </row>
    <row r="125">
      <c r="A125" s="5" t="s">
        <v>11</v>
      </c>
      <c r="B125" s="18">
        <v>38.0</v>
      </c>
      <c r="C125" s="7">
        <v>200.0</v>
      </c>
      <c r="D125" s="11">
        <v>18750.0</v>
      </c>
      <c r="E125" s="11">
        <v>61286.0</v>
      </c>
      <c r="F125" s="12">
        <f t="shared" si="41"/>
        <v>227645.8171</v>
      </c>
      <c r="G125" s="12">
        <f t="shared" si="42"/>
        <v>4232.981679</v>
      </c>
      <c r="H125" s="12">
        <f t="shared" si="43"/>
        <v>246103.586</v>
      </c>
      <c r="I125" s="12">
        <f t="shared" si="44"/>
        <v>215340.6378</v>
      </c>
      <c r="J125" s="12">
        <v>168634.0</v>
      </c>
      <c r="K125" s="16">
        <v>285503.0</v>
      </c>
      <c r="L125" s="9"/>
    </row>
    <row r="126">
      <c r="A126" s="5" t="s">
        <v>11</v>
      </c>
      <c r="B126" s="18">
        <v>38.0</v>
      </c>
      <c r="C126" s="7">
        <v>300.0</v>
      </c>
      <c r="D126" s="11">
        <v>29480.0</v>
      </c>
      <c r="E126" s="11">
        <v>96477.0</v>
      </c>
      <c r="F126" s="12">
        <f t="shared" si="41"/>
        <v>350155.4552</v>
      </c>
      <c r="G126" s="12">
        <f t="shared" si="42"/>
        <v>6510.998734</v>
      </c>
      <c r="H126" s="12">
        <f t="shared" si="43"/>
        <v>378546.438</v>
      </c>
      <c r="I126" s="12">
        <f t="shared" si="44"/>
        <v>331228.1333</v>
      </c>
      <c r="J126" s="11">
        <v>252951.0</v>
      </c>
      <c r="K126" s="16">
        <v>439149.0</v>
      </c>
      <c r="L126" s="9"/>
    </row>
    <row r="127">
      <c r="A127" s="5" t="s">
        <v>11</v>
      </c>
      <c r="B127" s="18">
        <v>38.0</v>
      </c>
      <c r="C127" s="7">
        <v>400.0</v>
      </c>
      <c r="D127" s="11">
        <v>39644.0</v>
      </c>
      <c r="E127" s="11">
        <v>129631.0</v>
      </c>
      <c r="F127" s="12">
        <f t="shared" si="41"/>
        <v>468446.3144</v>
      </c>
      <c r="G127" s="12">
        <f t="shared" si="42"/>
        <v>8710.569306</v>
      </c>
      <c r="H127" s="12">
        <f t="shared" si="43"/>
        <v>506428.448</v>
      </c>
      <c r="I127" s="12">
        <f t="shared" si="44"/>
        <v>443124.892</v>
      </c>
      <c r="J127" s="11">
        <v>337268.0</v>
      </c>
      <c r="K127" s="16">
        <v>587504.0</v>
      </c>
      <c r="L127" s="9"/>
    </row>
    <row r="128">
      <c r="A128" s="5" t="s">
        <v>11</v>
      </c>
      <c r="B128" s="18">
        <v>39.0</v>
      </c>
      <c r="C128" s="7">
        <v>50.0</v>
      </c>
      <c r="D128" s="11">
        <v>3253.0</v>
      </c>
      <c r="E128" s="11">
        <v>11331.0</v>
      </c>
      <c r="F128" s="12">
        <f t="shared" si="41"/>
        <v>55406.2568</v>
      </c>
      <c r="G128" s="12">
        <f t="shared" si="42"/>
        <v>1030.256883</v>
      </c>
      <c r="H128" s="12">
        <f t="shared" si="43"/>
        <v>59898.656</v>
      </c>
      <c r="I128" s="12">
        <f t="shared" si="44"/>
        <v>52411.324</v>
      </c>
      <c r="J128" s="12">
        <v>50000.0</v>
      </c>
      <c r="K128" s="19">
        <v>69488.0</v>
      </c>
      <c r="L128" s="9"/>
    </row>
    <row r="129">
      <c r="A129" s="5" t="s">
        <v>11</v>
      </c>
      <c r="B129" s="18">
        <v>39.0</v>
      </c>
      <c r="C129" s="7">
        <v>100.0</v>
      </c>
      <c r="D129" s="11">
        <v>8870.0</v>
      </c>
      <c r="E129" s="11">
        <v>29044.0</v>
      </c>
      <c r="F129" s="12">
        <f t="shared" si="41"/>
        <v>104969.5328</v>
      </c>
      <c r="G129" s="12">
        <f t="shared" si="42"/>
        <v>1951.865907</v>
      </c>
      <c r="H129" s="12">
        <f t="shared" si="43"/>
        <v>113480.576</v>
      </c>
      <c r="I129" s="12">
        <f t="shared" si="44"/>
        <v>99295.504</v>
      </c>
      <c r="J129" s="12">
        <v>80580.0</v>
      </c>
      <c r="K129" s="17">
        <v>131648.0</v>
      </c>
      <c r="L129" s="9"/>
    </row>
    <row r="130">
      <c r="A130" s="5" t="s">
        <v>11</v>
      </c>
      <c r="B130" s="18">
        <v>39.0</v>
      </c>
      <c r="C130" s="7">
        <v>150.0</v>
      </c>
      <c r="D130" s="11">
        <v>13811.0</v>
      </c>
      <c r="E130" s="11">
        <v>45054.0</v>
      </c>
      <c r="F130" s="12">
        <f t="shared" si="41"/>
        <v>159613.523</v>
      </c>
      <c r="G130" s="12">
        <f t="shared" si="42"/>
        <v>2967.948752</v>
      </c>
      <c r="H130" s="12">
        <f t="shared" si="43"/>
        <v>172555.16</v>
      </c>
      <c r="I130" s="12">
        <f t="shared" si="44"/>
        <v>150985.765</v>
      </c>
      <c r="J130" s="12">
        <v>120870.0</v>
      </c>
      <c r="K130" s="17">
        <v>200180.0</v>
      </c>
      <c r="L130" s="9"/>
    </row>
    <row r="131">
      <c r="A131" s="5" t="s">
        <v>11</v>
      </c>
      <c r="B131" s="18">
        <v>39.0</v>
      </c>
      <c r="C131" s="7">
        <v>200.0</v>
      </c>
      <c r="D131" s="11">
        <v>18751.0</v>
      </c>
      <c r="E131" s="11">
        <v>61064.0</v>
      </c>
      <c r="F131" s="12">
        <f t="shared" si="41"/>
        <v>214256.7159</v>
      </c>
      <c r="G131" s="12">
        <f t="shared" si="42"/>
        <v>3984.01677</v>
      </c>
      <c r="H131" s="12">
        <f t="shared" si="43"/>
        <v>231628.882</v>
      </c>
      <c r="I131" s="12">
        <f t="shared" si="44"/>
        <v>202675.2718</v>
      </c>
      <c r="J131" s="12">
        <v>161160.0</v>
      </c>
      <c r="K131" s="17">
        <v>268711.0</v>
      </c>
      <c r="L131" s="9"/>
    </row>
    <row r="132">
      <c r="A132" s="5" t="s">
        <v>11</v>
      </c>
      <c r="B132" s="18">
        <v>39.0</v>
      </c>
      <c r="C132" s="7">
        <v>300.0</v>
      </c>
      <c r="D132" s="11">
        <v>28678.0</v>
      </c>
      <c r="E132" s="11">
        <v>93390.0</v>
      </c>
      <c r="F132" s="12">
        <f t="shared" si="41"/>
        <v>324183.3736</v>
      </c>
      <c r="G132" s="12">
        <f t="shared" si="42"/>
        <v>6028.058406</v>
      </c>
      <c r="H132" s="12">
        <f t="shared" si="43"/>
        <v>350468.512</v>
      </c>
      <c r="I132" s="12">
        <f t="shared" si="44"/>
        <v>306659.948</v>
      </c>
      <c r="J132" s="11">
        <v>241740.0</v>
      </c>
      <c r="K132" s="17">
        <v>406576.0</v>
      </c>
      <c r="L132" s="9"/>
    </row>
    <row r="133">
      <c r="A133" s="5" t="s">
        <v>11</v>
      </c>
      <c r="B133" s="18">
        <v>39.0</v>
      </c>
      <c r="C133" s="7">
        <v>400.0</v>
      </c>
      <c r="D133" s="11">
        <v>39534.0</v>
      </c>
      <c r="E133" s="11">
        <v>129026.0</v>
      </c>
      <c r="F133" s="12">
        <f t="shared" si="41"/>
        <v>440224.1112</v>
      </c>
      <c r="G133" s="12">
        <f t="shared" si="42"/>
        <v>8185.788878</v>
      </c>
      <c r="H133" s="12">
        <f t="shared" si="43"/>
        <v>475917.958</v>
      </c>
      <c r="I133" s="12">
        <f t="shared" si="44"/>
        <v>416428.2133</v>
      </c>
      <c r="J133" s="11">
        <v>322321.0</v>
      </c>
      <c r="K133" s="17">
        <v>552109.0</v>
      </c>
      <c r="L133" s="9"/>
    </row>
    <row r="134">
      <c r="A134" s="5" t="s">
        <v>11</v>
      </c>
      <c r="B134" s="18">
        <v>40.0</v>
      </c>
      <c r="C134" s="7">
        <v>50.0</v>
      </c>
      <c r="D134" s="11">
        <v>3100.0</v>
      </c>
      <c r="E134" s="11">
        <v>10878.0</v>
      </c>
      <c r="F134" s="12">
        <f t="shared" si="41"/>
        <v>53628.1663</v>
      </c>
      <c r="G134" s="12">
        <f t="shared" si="42"/>
        <v>997.1940112</v>
      </c>
      <c r="H134" s="12">
        <f t="shared" si="43"/>
        <v>57976.396</v>
      </c>
      <c r="I134" s="12">
        <f t="shared" si="44"/>
        <v>50729.3465</v>
      </c>
      <c r="J134" s="12">
        <v>50000.0</v>
      </c>
      <c r="K134" s="16">
        <v>67258.0</v>
      </c>
      <c r="L134" s="9"/>
    </row>
    <row r="135">
      <c r="A135" s="5" t="s">
        <v>11</v>
      </c>
      <c r="B135" s="18">
        <v>40.0</v>
      </c>
      <c r="C135" s="7">
        <v>100.0</v>
      </c>
      <c r="D135" s="11">
        <v>8872.0</v>
      </c>
      <c r="E135" s="11">
        <v>28945.0</v>
      </c>
      <c r="F135" s="12">
        <f t="shared" si="41"/>
        <v>98997.3813</v>
      </c>
      <c r="G135" s="12">
        <f t="shared" si="42"/>
        <v>1840.816171</v>
      </c>
      <c r="H135" s="12">
        <f t="shared" si="43"/>
        <v>107024.196</v>
      </c>
      <c r="I135" s="12">
        <f t="shared" si="44"/>
        <v>93646.1715</v>
      </c>
      <c r="J135" s="12">
        <v>77160.0</v>
      </c>
      <c r="K135" s="16">
        <v>124158.0</v>
      </c>
      <c r="L135" s="9"/>
    </row>
    <row r="136">
      <c r="A136" s="5" t="s">
        <v>11</v>
      </c>
      <c r="B136" s="18">
        <v>40.0</v>
      </c>
      <c r="C136" s="7">
        <v>150.0</v>
      </c>
      <c r="D136" s="11">
        <v>13813.0</v>
      </c>
      <c r="E136" s="11">
        <v>44905.0</v>
      </c>
      <c r="F136" s="12">
        <f t="shared" si="41"/>
        <v>150480.6761</v>
      </c>
      <c r="G136" s="12">
        <f t="shared" si="42"/>
        <v>2798.127166</v>
      </c>
      <c r="H136" s="12">
        <f t="shared" si="43"/>
        <v>162681.812</v>
      </c>
      <c r="I136" s="12">
        <f t="shared" si="44"/>
        <v>142346.5855</v>
      </c>
      <c r="J136" s="12">
        <v>115741.0</v>
      </c>
      <c r="K136" s="16">
        <v>188726.0</v>
      </c>
      <c r="L136" s="9"/>
    </row>
    <row r="137">
      <c r="A137" s="5" t="s">
        <v>11</v>
      </c>
      <c r="B137" s="18">
        <v>40.0</v>
      </c>
      <c r="C137" s="7">
        <v>200.0</v>
      </c>
      <c r="D137" s="11">
        <v>18754.0</v>
      </c>
      <c r="E137" s="11">
        <v>60866.0</v>
      </c>
      <c r="F137" s="12">
        <f t="shared" si="41"/>
        <v>201963.1736</v>
      </c>
      <c r="G137" s="12">
        <f t="shared" si="42"/>
        <v>3755.423335</v>
      </c>
      <c r="H137" s="12">
        <f t="shared" si="43"/>
        <v>218338.566</v>
      </c>
      <c r="I137" s="12">
        <f t="shared" si="44"/>
        <v>191046.2453</v>
      </c>
      <c r="J137" s="12">
        <v>154321.0</v>
      </c>
      <c r="K137" s="16">
        <v>253293.0</v>
      </c>
      <c r="L137" s="9"/>
    </row>
    <row r="138">
      <c r="A138" s="5" t="s">
        <v>11</v>
      </c>
      <c r="B138" s="18">
        <v>40.0</v>
      </c>
      <c r="C138" s="7">
        <v>300.0</v>
      </c>
      <c r="D138" s="11">
        <v>28683.0</v>
      </c>
      <c r="E138" s="11">
        <v>93092.0</v>
      </c>
      <c r="F138" s="12">
        <f t="shared" si="41"/>
        <v>305487.9082</v>
      </c>
      <c r="G138" s="12">
        <f t="shared" si="42"/>
        <v>5680.423806</v>
      </c>
      <c r="H138" s="12">
        <f t="shared" si="43"/>
        <v>330257.198</v>
      </c>
      <c r="I138" s="12">
        <f t="shared" si="44"/>
        <v>288975.0483</v>
      </c>
      <c r="J138" s="11">
        <v>231481.0</v>
      </c>
      <c r="K138" s="16">
        <v>383129.0</v>
      </c>
      <c r="L138" s="9"/>
    </row>
    <row r="139">
      <c r="A139" s="5" t="s">
        <v>11</v>
      </c>
      <c r="B139" s="18">
        <v>40.0</v>
      </c>
      <c r="C139" s="7">
        <v>400.0</v>
      </c>
      <c r="D139" s="11">
        <v>39433.0</v>
      </c>
      <c r="E139" s="11">
        <v>128473.0</v>
      </c>
      <c r="F139" s="12">
        <f t="shared" si="41"/>
        <v>414303.06</v>
      </c>
      <c r="G139" s="12">
        <f t="shared" si="42"/>
        <v>7703.79744</v>
      </c>
      <c r="H139" s="12">
        <f t="shared" si="43"/>
        <v>447895.2</v>
      </c>
      <c r="I139" s="12">
        <f t="shared" si="44"/>
        <v>391908.3</v>
      </c>
      <c r="J139" s="11">
        <v>308642.0</v>
      </c>
      <c r="K139" s="16">
        <v>519600.0</v>
      </c>
      <c r="L139" s="9"/>
    </row>
    <row r="140">
      <c r="A140" s="5" t="s">
        <v>11</v>
      </c>
      <c r="B140" s="18">
        <v>41.0</v>
      </c>
      <c r="C140" s="7">
        <v>50.0</v>
      </c>
      <c r="D140" s="11">
        <v>2886.0</v>
      </c>
      <c r="E140" s="11">
        <v>10111.0</v>
      </c>
      <c r="F140" s="12">
        <f t="shared" si="41"/>
        <v>51526.3517</v>
      </c>
      <c r="G140" s="12">
        <f t="shared" si="42"/>
        <v>958.1116208</v>
      </c>
      <c r="H140" s="12">
        <f t="shared" si="43"/>
        <v>55704.164</v>
      </c>
      <c r="I140" s="12">
        <f t="shared" si="44"/>
        <v>48741.1435</v>
      </c>
      <c r="J140" s="12">
        <v>50000.0</v>
      </c>
      <c r="K140" s="17">
        <v>64622.0</v>
      </c>
      <c r="L140" s="9"/>
    </row>
    <row r="141">
      <c r="A141" s="5" t="s">
        <v>11</v>
      </c>
      <c r="B141" s="18">
        <v>41.0</v>
      </c>
      <c r="C141" s="7">
        <v>100.0</v>
      </c>
      <c r="D141" s="11">
        <v>8875.0</v>
      </c>
      <c r="E141" s="11">
        <v>28625.0</v>
      </c>
      <c r="F141" s="12">
        <f t="shared" si="41"/>
        <v>92086.74885</v>
      </c>
      <c r="G141" s="12">
        <f t="shared" si="42"/>
        <v>1712.315762</v>
      </c>
      <c r="H141" s="12">
        <f t="shared" si="43"/>
        <v>99553.242</v>
      </c>
      <c r="I141" s="12">
        <f t="shared" si="44"/>
        <v>87109.08675</v>
      </c>
      <c r="J141" s="12">
        <v>72833.0</v>
      </c>
      <c r="K141" s="17">
        <v>115491.0</v>
      </c>
      <c r="L141" s="9"/>
    </row>
    <row r="142">
      <c r="A142" s="5" t="s">
        <v>11</v>
      </c>
      <c r="B142" s="18">
        <v>41.0</v>
      </c>
      <c r="C142" s="7">
        <v>150.0</v>
      </c>
      <c r="D142" s="11">
        <v>13818.0</v>
      </c>
      <c r="E142" s="11">
        <v>44425.0</v>
      </c>
      <c r="F142" s="12">
        <f t="shared" si="41"/>
        <v>139951.6694</v>
      </c>
      <c r="G142" s="12">
        <f t="shared" si="42"/>
        <v>2602.344554</v>
      </c>
      <c r="H142" s="12">
        <f t="shared" si="43"/>
        <v>151299.102</v>
      </c>
      <c r="I142" s="12">
        <f t="shared" si="44"/>
        <v>132386.7143</v>
      </c>
      <c r="J142" s="12">
        <v>109250.0</v>
      </c>
      <c r="K142" s="17">
        <v>175521.0</v>
      </c>
      <c r="L142" s="9"/>
    </row>
    <row r="143">
      <c r="A143" s="5" t="s">
        <v>11</v>
      </c>
      <c r="B143" s="18">
        <v>41.0</v>
      </c>
      <c r="C143" s="7">
        <v>200.0</v>
      </c>
      <c r="D143" s="11">
        <v>18761.0</v>
      </c>
      <c r="E143" s="11">
        <v>60226.0</v>
      </c>
      <c r="F143" s="12">
        <f t="shared" si="41"/>
        <v>187814.9952</v>
      </c>
      <c r="G143" s="12">
        <f t="shared" si="42"/>
        <v>3492.343694</v>
      </c>
      <c r="H143" s="12">
        <f t="shared" si="43"/>
        <v>203043.238</v>
      </c>
      <c r="I143" s="12">
        <f t="shared" si="44"/>
        <v>177662.8333</v>
      </c>
      <c r="J143" s="12">
        <v>145666.0</v>
      </c>
      <c r="K143" s="17">
        <v>235549.0</v>
      </c>
      <c r="L143" s="9"/>
    </row>
    <row r="144">
      <c r="A144" s="5" t="s">
        <v>11</v>
      </c>
      <c r="B144" s="18">
        <v>41.0</v>
      </c>
      <c r="C144" s="7">
        <v>300.0</v>
      </c>
      <c r="D144" s="11">
        <v>28694.0</v>
      </c>
      <c r="E144" s="11">
        <v>92131.0</v>
      </c>
      <c r="F144" s="12">
        <f t="shared" si="41"/>
        <v>284030.4223</v>
      </c>
      <c r="G144" s="12">
        <f t="shared" si="42"/>
        <v>5281.430555</v>
      </c>
      <c r="H144" s="12">
        <f t="shared" si="43"/>
        <v>307059.916</v>
      </c>
      <c r="I144" s="12">
        <f t="shared" si="44"/>
        <v>268677.4265</v>
      </c>
      <c r="J144" s="11">
        <v>218499.0</v>
      </c>
      <c r="K144" s="17">
        <v>356218.0</v>
      </c>
      <c r="L144" s="9"/>
    </row>
    <row r="145">
      <c r="A145" s="5" t="s">
        <v>11</v>
      </c>
      <c r="B145" s="18">
        <v>41.0</v>
      </c>
      <c r="C145" s="7">
        <v>400.0</v>
      </c>
      <c r="D145" s="8">
        <v>39406.0</v>
      </c>
      <c r="E145" s="11">
        <v>127725.0</v>
      </c>
      <c r="F145" s="12">
        <f t="shared" si="41"/>
        <v>386099.9932</v>
      </c>
      <c r="G145" s="12">
        <f t="shared" si="42"/>
        <v>7179.372846</v>
      </c>
      <c r="H145" s="12">
        <f t="shared" si="43"/>
        <v>417405.398</v>
      </c>
      <c r="I145" s="12">
        <f t="shared" si="44"/>
        <v>365229.7233</v>
      </c>
      <c r="J145" s="11">
        <v>291333.0</v>
      </c>
      <c r="K145" s="17">
        <v>484229.0</v>
      </c>
      <c r="L145" s="9"/>
    </row>
    <row r="146">
      <c r="A146" s="5" t="s">
        <v>11</v>
      </c>
      <c r="B146" s="18">
        <v>42.0</v>
      </c>
      <c r="C146" s="7">
        <v>50.0</v>
      </c>
      <c r="D146" s="11">
        <v>2672.0</v>
      </c>
      <c r="E146" s="11">
        <v>9343.0</v>
      </c>
      <c r="F146" s="12">
        <f t="shared" si="41"/>
        <v>49769.78965</v>
      </c>
      <c r="G146" s="12">
        <f t="shared" si="42"/>
        <v>925.4490616</v>
      </c>
      <c r="H146" s="12">
        <f t="shared" si="43"/>
        <v>53805.178</v>
      </c>
      <c r="I146" s="12">
        <f t="shared" si="44"/>
        <v>47079.53075</v>
      </c>
      <c r="J146" s="12">
        <v>50000.0</v>
      </c>
      <c r="K146" s="16">
        <v>62419.0</v>
      </c>
      <c r="L146" s="9"/>
    </row>
    <row r="147">
      <c r="A147" s="5" t="s">
        <v>11</v>
      </c>
      <c r="B147" s="18">
        <v>42.0</v>
      </c>
      <c r="C147" s="7">
        <v>100.0</v>
      </c>
      <c r="D147" s="12">
        <v>8879.0</v>
      </c>
      <c r="E147" s="11">
        <v>28339.0</v>
      </c>
      <c r="F147" s="12">
        <f t="shared" si="41"/>
        <v>86081.10865</v>
      </c>
      <c r="G147" s="12">
        <f t="shared" si="42"/>
        <v>1600.643318</v>
      </c>
      <c r="H147" s="12">
        <f t="shared" si="43"/>
        <v>93060.658</v>
      </c>
      <c r="I147" s="12">
        <f t="shared" si="44"/>
        <v>81428.07575</v>
      </c>
      <c r="J147" s="12">
        <v>68965.0</v>
      </c>
      <c r="K147" s="16">
        <v>107959.0</v>
      </c>
      <c r="L147" s="9"/>
    </row>
    <row r="148">
      <c r="A148" s="5" t="s">
        <v>11</v>
      </c>
      <c r="B148" s="18">
        <v>42.0</v>
      </c>
      <c r="C148" s="7">
        <v>150.0</v>
      </c>
      <c r="D148" s="11">
        <v>13823.0</v>
      </c>
      <c r="E148" s="11">
        <v>43996.0</v>
      </c>
      <c r="F148" s="12">
        <f t="shared" si="41"/>
        <v>130798.8887</v>
      </c>
      <c r="G148" s="12">
        <f t="shared" si="42"/>
        <v>2432.152309</v>
      </c>
      <c r="H148" s="12">
        <f t="shared" si="43"/>
        <v>141404.204</v>
      </c>
      <c r="I148" s="12">
        <f t="shared" si="44"/>
        <v>123728.6785</v>
      </c>
      <c r="J148" s="12">
        <v>103448.0</v>
      </c>
      <c r="K148" s="16">
        <v>164042.0</v>
      </c>
      <c r="L148" s="9"/>
    </row>
    <row r="149">
      <c r="A149" s="5" t="s">
        <v>11</v>
      </c>
      <c r="B149" s="18">
        <v>42.0</v>
      </c>
      <c r="C149" s="7">
        <v>200.0</v>
      </c>
      <c r="D149" s="12">
        <v>18768.0</v>
      </c>
      <c r="E149" s="11">
        <v>59654.0</v>
      </c>
      <c r="F149" s="12">
        <f t="shared" si="41"/>
        <v>175516.6688</v>
      </c>
      <c r="G149" s="12">
        <f t="shared" si="42"/>
        <v>3263.6613</v>
      </c>
      <c r="H149" s="12">
        <f t="shared" si="43"/>
        <v>189747.75</v>
      </c>
      <c r="I149" s="12">
        <f t="shared" si="44"/>
        <v>166029.2813</v>
      </c>
      <c r="J149" s="12">
        <v>137931.0</v>
      </c>
      <c r="K149" s="16">
        <v>220125.0</v>
      </c>
      <c r="L149" s="9"/>
    </row>
    <row r="150">
      <c r="A150" s="5" t="s">
        <v>11</v>
      </c>
      <c r="B150" s="18">
        <v>42.0</v>
      </c>
      <c r="C150" s="7">
        <v>300.0</v>
      </c>
      <c r="D150" s="11">
        <v>28703.0</v>
      </c>
      <c r="E150" s="11">
        <v>91273.0</v>
      </c>
      <c r="F150" s="12">
        <f t="shared" si="41"/>
        <v>265376.4191</v>
      </c>
      <c r="G150" s="12">
        <f t="shared" si="42"/>
        <v>4934.566927</v>
      </c>
      <c r="H150" s="12">
        <f t="shared" si="43"/>
        <v>286893.426</v>
      </c>
      <c r="I150" s="12">
        <f t="shared" si="44"/>
        <v>251031.7478</v>
      </c>
      <c r="J150" s="11">
        <v>206896.0</v>
      </c>
      <c r="K150" s="16">
        <v>332823.0</v>
      </c>
      <c r="L150" s="9"/>
    </row>
    <row r="151">
      <c r="A151" s="5" t="s">
        <v>11</v>
      </c>
      <c r="B151" s="18">
        <v>42.0</v>
      </c>
      <c r="C151" s="7">
        <v>400.0</v>
      </c>
      <c r="D151" s="11">
        <v>39386.0</v>
      </c>
      <c r="E151" s="11">
        <v>127065.0</v>
      </c>
      <c r="F151" s="12">
        <f t="shared" si="41"/>
        <v>361293.6373</v>
      </c>
      <c r="G151" s="12">
        <f t="shared" si="42"/>
        <v>6718.108715</v>
      </c>
      <c r="H151" s="12">
        <f t="shared" si="43"/>
        <v>390587.716</v>
      </c>
      <c r="I151" s="12">
        <f t="shared" si="44"/>
        <v>341764.2515</v>
      </c>
      <c r="J151" s="11">
        <v>275862.0</v>
      </c>
      <c r="K151" s="16">
        <v>453118.0</v>
      </c>
      <c r="L151" s="9"/>
    </row>
    <row r="152">
      <c r="A152" s="5" t="s">
        <v>11</v>
      </c>
      <c r="B152" s="18">
        <v>43.0</v>
      </c>
      <c r="C152" s="7">
        <v>50.0</v>
      </c>
      <c r="D152" s="11">
        <v>2458.0</v>
      </c>
      <c r="E152" s="11">
        <v>8580.0</v>
      </c>
      <c r="F152" s="12">
        <f t="shared" si="41"/>
        <v>48260.4061</v>
      </c>
      <c r="G152" s="12">
        <f t="shared" si="42"/>
        <v>897.3826864</v>
      </c>
      <c r="H152" s="12">
        <f t="shared" si="43"/>
        <v>52173.412</v>
      </c>
      <c r="I152" s="12">
        <f t="shared" si="44"/>
        <v>45651.7355</v>
      </c>
      <c r="J152" s="12">
        <v>50000.0</v>
      </c>
      <c r="K152" s="17">
        <v>60526.0</v>
      </c>
      <c r="L152" s="9"/>
    </row>
    <row r="153">
      <c r="A153" s="5" t="s">
        <v>11</v>
      </c>
      <c r="B153" s="18">
        <v>43.0</v>
      </c>
      <c r="C153" s="7">
        <v>100.0</v>
      </c>
      <c r="D153" s="11">
        <v>8880.0</v>
      </c>
      <c r="E153" s="11">
        <v>28088.0</v>
      </c>
      <c r="F153" s="12">
        <f t="shared" si="41"/>
        <v>80687.0359</v>
      </c>
      <c r="G153" s="12">
        <f t="shared" si="42"/>
        <v>1500.342722</v>
      </c>
      <c r="H153" s="12">
        <f t="shared" si="43"/>
        <v>87229.228</v>
      </c>
      <c r="I153" s="12">
        <f t="shared" si="44"/>
        <v>76325.5745</v>
      </c>
      <c r="J153" s="12">
        <v>65488.0</v>
      </c>
      <c r="K153" s="17">
        <v>101194.0</v>
      </c>
      <c r="L153" s="9"/>
    </row>
    <row r="154">
      <c r="A154" s="5" t="s">
        <v>11</v>
      </c>
      <c r="B154" s="18">
        <v>43.0</v>
      </c>
      <c r="C154" s="7">
        <v>150.0</v>
      </c>
      <c r="D154" s="11">
        <v>13826.0</v>
      </c>
      <c r="E154" s="11">
        <v>43620.0</v>
      </c>
      <c r="F154" s="12">
        <f t="shared" si="41"/>
        <v>122571.8314</v>
      </c>
      <c r="G154" s="12">
        <f t="shared" si="42"/>
        <v>2279.173514</v>
      </c>
      <c r="H154" s="12">
        <f t="shared" si="43"/>
        <v>132510.088</v>
      </c>
      <c r="I154" s="12">
        <f t="shared" si="44"/>
        <v>115946.327</v>
      </c>
      <c r="J154" s="12">
        <v>98232.0</v>
      </c>
      <c r="K154" s="17">
        <v>153724.0</v>
      </c>
      <c r="L154" s="9"/>
    </row>
    <row r="155">
      <c r="A155" s="5" t="s">
        <v>11</v>
      </c>
      <c r="B155" s="18">
        <v>43.0</v>
      </c>
      <c r="C155" s="7">
        <v>200.0</v>
      </c>
      <c r="D155" s="11">
        <v>18771.0</v>
      </c>
      <c r="E155" s="11">
        <v>59152.0</v>
      </c>
      <c r="F155" s="12">
        <f t="shared" si="41"/>
        <v>164456.6269</v>
      </c>
      <c r="G155" s="12">
        <f t="shared" si="42"/>
        <v>3058.004306</v>
      </c>
      <c r="H155" s="12">
        <f t="shared" si="43"/>
        <v>177790.948</v>
      </c>
      <c r="I155" s="12">
        <f t="shared" si="44"/>
        <v>155567.0795</v>
      </c>
      <c r="J155" s="12">
        <v>130976.0</v>
      </c>
      <c r="K155" s="17">
        <v>206254.0</v>
      </c>
      <c r="L155" s="9"/>
    </row>
    <row r="156">
      <c r="A156" s="5" t="s">
        <v>11</v>
      </c>
      <c r="B156" s="18">
        <v>43.0</v>
      </c>
      <c r="C156" s="7">
        <v>300.0</v>
      </c>
      <c r="D156" s="11">
        <v>28708.0</v>
      </c>
      <c r="E156" s="11">
        <v>90519.0</v>
      </c>
      <c r="F156" s="12">
        <f t="shared" si="41"/>
        <v>248596.9857</v>
      </c>
      <c r="G156" s="12">
        <f t="shared" si="42"/>
        <v>4622.560166</v>
      </c>
      <c r="H156" s="12">
        <f t="shared" si="43"/>
        <v>268753.498</v>
      </c>
      <c r="I156" s="12">
        <f t="shared" si="44"/>
        <v>235159.3108</v>
      </c>
      <c r="J156" s="11">
        <v>196463.0</v>
      </c>
      <c r="K156" s="17">
        <v>311779.0</v>
      </c>
      <c r="L156" s="9"/>
    </row>
    <row r="157">
      <c r="A157" s="5" t="s">
        <v>11</v>
      </c>
      <c r="B157" s="18">
        <v>43.0</v>
      </c>
      <c r="C157" s="7">
        <v>400.0</v>
      </c>
      <c r="D157" s="8">
        <v>39369.0</v>
      </c>
      <c r="E157" s="11">
        <v>126471.0</v>
      </c>
      <c r="F157" s="12">
        <f t="shared" si="41"/>
        <v>338675.2099</v>
      </c>
      <c r="G157" s="12">
        <f t="shared" si="42"/>
        <v>6297.528226</v>
      </c>
      <c r="H157" s="12">
        <f t="shared" si="43"/>
        <v>366135.362</v>
      </c>
      <c r="I157" s="12">
        <f t="shared" si="44"/>
        <v>320368.4418</v>
      </c>
      <c r="J157" s="11">
        <v>261951.0</v>
      </c>
      <c r="K157" s="17">
        <v>424751.0</v>
      </c>
      <c r="L157" s="9"/>
    </row>
    <row r="158">
      <c r="A158" s="5" t="s">
        <v>11</v>
      </c>
      <c r="B158" s="18">
        <v>44.0</v>
      </c>
      <c r="C158" s="7">
        <v>50.0</v>
      </c>
      <c r="D158" s="11">
        <v>2244.0</v>
      </c>
      <c r="E158" s="11">
        <v>7816.0</v>
      </c>
      <c r="F158" s="12">
        <f t="shared" si="41"/>
        <v>46961.52295</v>
      </c>
      <c r="G158" s="12">
        <f t="shared" si="42"/>
        <v>873.2304808</v>
      </c>
      <c r="H158" s="12">
        <f t="shared" si="43"/>
        <v>50769.214</v>
      </c>
      <c r="I158" s="12">
        <f t="shared" si="44"/>
        <v>44423.06225</v>
      </c>
      <c r="J158" s="12">
        <v>50000.0</v>
      </c>
      <c r="K158" s="16">
        <v>58897.0</v>
      </c>
      <c r="L158" s="9"/>
    </row>
    <row r="159">
      <c r="A159" s="5" t="s">
        <v>11</v>
      </c>
      <c r="B159" s="18">
        <v>44.0</v>
      </c>
      <c r="C159" s="7">
        <v>100.0</v>
      </c>
      <c r="D159" s="11">
        <v>8883.0</v>
      </c>
      <c r="E159" s="11">
        <v>27859.0</v>
      </c>
      <c r="F159" s="12">
        <f t="shared" si="41"/>
        <v>75798.48305</v>
      </c>
      <c r="G159" s="12">
        <f t="shared" si="42"/>
        <v>1409.442063</v>
      </c>
      <c r="H159" s="12">
        <f t="shared" si="43"/>
        <v>81944.306</v>
      </c>
      <c r="I159" s="12">
        <f t="shared" si="44"/>
        <v>71701.26775</v>
      </c>
      <c r="J159" s="12">
        <v>62344.0</v>
      </c>
      <c r="K159" s="16">
        <v>95063.0</v>
      </c>
      <c r="L159" s="9"/>
    </row>
    <row r="160">
      <c r="A160" s="5" t="s">
        <v>11</v>
      </c>
      <c r="B160" s="18">
        <v>44.0</v>
      </c>
      <c r="C160" s="7">
        <v>150.0</v>
      </c>
      <c r="D160" s="11">
        <v>13830.0</v>
      </c>
      <c r="E160" s="11">
        <v>43277.0</v>
      </c>
      <c r="F160" s="12">
        <f t="shared" si="41"/>
        <v>115113.4195</v>
      </c>
      <c r="G160" s="12">
        <f t="shared" si="42"/>
        <v>2140.487368</v>
      </c>
      <c r="H160" s="12">
        <f t="shared" si="43"/>
        <v>124446.94</v>
      </c>
      <c r="I160" s="12">
        <f t="shared" si="44"/>
        <v>108891.0725</v>
      </c>
      <c r="J160" s="12">
        <v>93516.0</v>
      </c>
      <c r="K160" s="16">
        <v>144370.0</v>
      </c>
      <c r="L160" s="9"/>
    </row>
    <row r="161">
      <c r="A161" s="5" t="s">
        <v>11</v>
      </c>
      <c r="B161" s="18">
        <v>44.0</v>
      </c>
      <c r="C161" s="7">
        <v>200.0</v>
      </c>
      <c r="D161" s="11">
        <v>18776.0</v>
      </c>
      <c r="E161" s="11">
        <v>58694.0</v>
      </c>
      <c r="F161" s="12">
        <f t="shared" si="41"/>
        <v>154428.356</v>
      </c>
      <c r="G161" s="12">
        <f t="shared" si="42"/>
        <v>2871.532673</v>
      </c>
      <c r="H161" s="12">
        <f t="shared" si="43"/>
        <v>166949.574</v>
      </c>
      <c r="I161" s="12">
        <f t="shared" si="44"/>
        <v>146080.8773</v>
      </c>
      <c r="J161" s="12">
        <v>124688.0</v>
      </c>
      <c r="K161" s="16">
        <v>193677.0</v>
      </c>
      <c r="L161" s="9"/>
    </row>
    <row r="162">
      <c r="A162" s="5" t="s">
        <v>11</v>
      </c>
      <c r="B162" s="18">
        <v>44.0</v>
      </c>
      <c r="C162" s="7">
        <v>300.0</v>
      </c>
      <c r="D162" s="11">
        <v>28716.0</v>
      </c>
      <c r="E162" s="11">
        <v>89832.0</v>
      </c>
      <c r="F162" s="12">
        <f t="shared" si="41"/>
        <v>233378.7636</v>
      </c>
      <c r="G162" s="12">
        <f t="shared" si="42"/>
        <v>4339.583495</v>
      </c>
      <c r="H162" s="12">
        <f t="shared" si="43"/>
        <v>252301.366</v>
      </c>
      <c r="I162" s="12">
        <f t="shared" si="44"/>
        <v>220763.6953</v>
      </c>
      <c r="J162" s="11">
        <v>187032.0</v>
      </c>
      <c r="K162" s="16">
        <v>292693.0</v>
      </c>
      <c r="L162" s="9"/>
    </row>
    <row r="163">
      <c r="A163" s="5" t="s">
        <v>11</v>
      </c>
      <c r="B163" s="18">
        <v>44.0</v>
      </c>
      <c r="C163" s="7">
        <v>400.0</v>
      </c>
      <c r="D163" s="11">
        <v>38626.0</v>
      </c>
      <c r="E163" s="11">
        <v>120772.0</v>
      </c>
      <c r="F163" s="12">
        <f t="shared" si="41"/>
        <v>312119.4681</v>
      </c>
      <c r="G163" s="12">
        <f t="shared" si="42"/>
        <v>5803.734974</v>
      </c>
      <c r="H163" s="12">
        <f t="shared" si="43"/>
        <v>337426.452</v>
      </c>
      <c r="I163" s="12">
        <f t="shared" si="44"/>
        <v>295248.1455</v>
      </c>
      <c r="J163" s="11">
        <v>249376.0</v>
      </c>
      <c r="K163" s="16">
        <v>391446.0</v>
      </c>
      <c r="L163" s="9"/>
    </row>
    <row r="164">
      <c r="A164" s="5" t="s">
        <v>11</v>
      </c>
      <c r="B164" s="18">
        <v>45.0</v>
      </c>
      <c r="C164" s="7">
        <v>50.0</v>
      </c>
      <c r="D164" s="11">
        <v>2030.0</v>
      </c>
      <c r="E164" s="11">
        <v>7039.0</v>
      </c>
      <c r="F164" s="12">
        <f t="shared" si="41"/>
        <v>45832.47535</v>
      </c>
      <c r="G164" s="12">
        <f t="shared" si="42"/>
        <v>852.2362984</v>
      </c>
      <c r="H164" s="12">
        <f t="shared" si="43"/>
        <v>49548.622</v>
      </c>
      <c r="I164" s="12">
        <f t="shared" si="44"/>
        <v>43355.04425</v>
      </c>
      <c r="J164" s="12">
        <v>50000.0</v>
      </c>
      <c r="K164" s="17">
        <v>57481.0</v>
      </c>
      <c r="L164" s="9"/>
    </row>
    <row r="165">
      <c r="A165" s="5" t="s">
        <v>11</v>
      </c>
      <c r="B165" s="18">
        <v>45.0</v>
      </c>
      <c r="C165" s="7">
        <v>100.0</v>
      </c>
      <c r="D165" s="11">
        <v>8885.0</v>
      </c>
      <c r="E165" s="11">
        <v>27636.0</v>
      </c>
      <c r="F165" s="12">
        <f t="shared" si="41"/>
        <v>71327.7416</v>
      </c>
      <c r="G165" s="12">
        <f t="shared" si="42"/>
        <v>1326.310438</v>
      </c>
      <c r="H165" s="12">
        <f t="shared" si="43"/>
        <v>77111.072</v>
      </c>
      <c r="I165" s="12">
        <f t="shared" si="44"/>
        <v>67472.188</v>
      </c>
      <c r="J165" s="12">
        <v>59488.0</v>
      </c>
      <c r="K165" s="17">
        <v>89456.0</v>
      </c>
      <c r="L165" s="9"/>
    </row>
    <row r="166">
      <c r="A166" s="5" t="s">
        <v>11</v>
      </c>
      <c r="B166" s="18">
        <v>45.0</v>
      </c>
      <c r="C166" s="7">
        <v>150.0</v>
      </c>
      <c r="D166" s="11">
        <v>13833.0</v>
      </c>
      <c r="E166" s="11">
        <v>42943.0</v>
      </c>
      <c r="F166" s="12">
        <f t="shared" si="41"/>
        <v>108289.6982</v>
      </c>
      <c r="G166" s="12">
        <f t="shared" si="42"/>
        <v>2013.603037</v>
      </c>
      <c r="H166" s="12">
        <f t="shared" si="43"/>
        <v>117069.944</v>
      </c>
      <c r="I166" s="12">
        <f t="shared" si="44"/>
        <v>102436.201</v>
      </c>
      <c r="J166" s="12">
        <v>89232.0</v>
      </c>
      <c r="K166" s="17">
        <v>135812.0</v>
      </c>
      <c r="L166" s="9"/>
    </row>
    <row r="167">
      <c r="A167" s="5" t="s">
        <v>11</v>
      </c>
      <c r="B167" s="18">
        <v>45.0</v>
      </c>
      <c r="C167" s="7">
        <v>200.0</v>
      </c>
      <c r="D167" s="11">
        <v>18781.0</v>
      </c>
      <c r="E167" s="11">
        <v>58249.0</v>
      </c>
      <c r="F167" s="12">
        <f t="shared" si="41"/>
        <v>145251.6548</v>
      </c>
      <c r="G167" s="12">
        <f t="shared" si="42"/>
        <v>2700.895635</v>
      </c>
      <c r="H167" s="12">
        <f t="shared" si="43"/>
        <v>157028.816</v>
      </c>
      <c r="I167" s="12">
        <f t="shared" si="44"/>
        <v>137400.214</v>
      </c>
      <c r="J167" s="12">
        <v>118977.0</v>
      </c>
      <c r="K167" s="17">
        <v>182168.0</v>
      </c>
      <c r="L167" s="9"/>
    </row>
    <row r="168">
      <c r="A168" s="5" t="s">
        <v>11</v>
      </c>
      <c r="B168" s="18">
        <v>45.0</v>
      </c>
      <c r="C168" s="7">
        <v>300.0</v>
      </c>
      <c r="D168" s="11">
        <v>28723.0</v>
      </c>
      <c r="E168" s="11">
        <v>89163.0</v>
      </c>
      <c r="F168" s="12">
        <f t="shared" si="41"/>
        <v>219452.2485</v>
      </c>
      <c r="G168" s="12">
        <f t="shared" si="42"/>
        <v>4080.625593</v>
      </c>
      <c r="H168" s="12">
        <f t="shared" si="43"/>
        <v>237245.674</v>
      </c>
      <c r="I168" s="12">
        <f t="shared" si="44"/>
        <v>207589.9648</v>
      </c>
      <c r="J168" s="11">
        <v>178465.0</v>
      </c>
      <c r="K168" s="17">
        <v>275227.0</v>
      </c>
      <c r="L168" s="9"/>
    </row>
    <row r="169">
      <c r="A169" s="5" t="s">
        <v>11</v>
      </c>
      <c r="B169" s="18">
        <v>45.0</v>
      </c>
      <c r="C169" s="7">
        <v>400.0</v>
      </c>
      <c r="D169" s="11">
        <v>38635.0</v>
      </c>
      <c r="E169" s="11">
        <v>119880.0</v>
      </c>
      <c r="F169" s="12">
        <f t="shared" si="41"/>
        <v>293471.0463</v>
      </c>
      <c r="G169" s="12">
        <f t="shared" si="42"/>
        <v>5456.975131</v>
      </c>
      <c r="H169" s="12">
        <f t="shared" si="43"/>
        <v>317265.996</v>
      </c>
      <c r="I169" s="12">
        <f t="shared" si="44"/>
        <v>277607.7465</v>
      </c>
      <c r="J169" s="11">
        <v>237953.0</v>
      </c>
      <c r="K169" s="17">
        <v>368058.0</v>
      </c>
      <c r="L169" s="9"/>
    </row>
    <row r="170">
      <c r="A170" s="5" t="s">
        <v>11</v>
      </c>
      <c r="B170" s="18">
        <v>46.0</v>
      </c>
      <c r="C170" s="7">
        <v>50.0</v>
      </c>
      <c r="D170" s="11">
        <v>1618.0</v>
      </c>
      <c r="E170" s="11">
        <v>5792.0</v>
      </c>
      <c r="F170" s="12">
        <f t="shared" si="41"/>
        <v>44485.7512</v>
      </c>
      <c r="G170" s="12">
        <f t="shared" si="42"/>
        <v>827.1945088</v>
      </c>
      <c r="H170" s="12">
        <f t="shared" si="43"/>
        <v>48092.704</v>
      </c>
      <c r="I170" s="12">
        <f t="shared" si="44"/>
        <v>42081.116</v>
      </c>
      <c r="J170" s="12">
        <v>50000.0</v>
      </c>
      <c r="K170" s="16">
        <v>55792.0</v>
      </c>
      <c r="L170" s="9"/>
    </row>
    <row r="171">
      <c r="A171" s="5" t="s">
        <v>11</v>
      </c>
      <c r="B171" s="18">
        <v>46.0</v>
      </c>
      <c r="C171" s="7">
        <v>100.0</v>
      </c>
      <c r="D171" s="11">
        <v>8779.0</v>
      </c>
      <c r="E171" s="11">
        <v>27226.0</v>
      </c>
      <c r="F171" s="12">
        <f t="shared" si="41"/>
        <v>66153.73745</v>
      </c>
      <c r="G171" s="12">
        <f t="shared" si="42"/>
        <v>1230.101929</v>
      </c>
      <c r="H171" s="12">
        <f t="shared" si="43"/>
        <v>71517.554</v>
      </c>
      <c r="I171" s="12">
        <f t="shared" si="44"/>
        <v>62577.85975</v>
      </c>
      <c r="J171" s="12">
        <v>55741.0</v>
      </c>
      <c r="K171" s="16">
        <v>82967.0</v>
      </c>
      <c r="L171" s="9"/>
    </row>
    <row r="172">
      <c r="A172" s="5" t="s">
        <v>11</v>
      </c>
      <c r="B172" s="18">
        <v>46.0</v>
      </c>
      <c r="C172" s="7">
        <v>150.0</v>
      </c>
      <c r="D172" s="11">
        <v>13673.0</v>
      </c>
      <c r="E172" s="11">
        <v>42327.0</v>
      </c>
      <c r="F172" s="12">
        <f t="shared" si="41"/>
        <v>100417.4617</v>
      </c>
      <c r="G172" s="12">
        <f t="shared" si="42"/>
        <v>1867.22199</v>
      </c>
      <c r="H172" s="12">
        <f t="shared" si="43"/>
        <v>108559.418</v>
      </c>
      <c r="I172" s="12">
        <f t="shared" si="44"/>
        <v>94989.49075</v>
      </c>
      <c r="J172" s="12">
        <v>83612.0</v>
      </c>
      <c r="K172" s="16">
        <v>125939.0</v>
      </c>
      <c r="L172" s="9"/>
    </row>
    <row r="173">
      <c r="A173" s="5" t="s">
        <v>11</v>
      </c>
      <c r="B173" s="18">
        <v>46.0</v>
      </c>
      <c r="C173" s="7">
        <v>200.0</v>
      </c>
      <c r="D173" s="12">
        <v>18568.0</v>
      </c>
      <c r="E173" s="11">
        <v>57428.0</v>
      </c>
      <c r="F173" s="12">
        <f t="shared" si="41"/>
        <v>134680.3885</v>
      </c>
      <c r="G173" s="12">
        <f t="shared" si="42"/>
        <v>2504.327224</v>
      </c>
      <c r="H173" s="12">
        <f t="shared" si="43"/>
        <v>145600.42</v>
      </c>
      <c r="I173" s="12">
        <f t="shared" si="44"/>
        <v>127400.3675</v>
      </c>
      <c r="J173" s="12">
        <v>111482.0</v>
      </c>
      <c r="K173" s="16">
        <v>168910.0</v>
      </c>
      <c r="L173" s="9"/>
    </row>
    <row r="174">
      <c r="A174" s="5" t="s">
        <v>11</v>
      </c>
      <c r="B174" s="18">
        <v>46.0</v>
      </c>
      <c r="C174" s="7">
        <v>300.0</v>
      </c>
      <c r="D174" s="11">
        <v>28403.0</v>
      </c>
      <c r="E174" s="11">
        <v>87929.0</v>
      </c>
      <c r="F174" s="12">
        <f t="shared" si="41"/>
        <v>203446.2446</v>
      </c>
      <c r="G174" s="12">
        <f t="shared" si="42"/>
        <v>3783.000439</v>
      </c>
      <c r="H174" s="12">
        <f t="shared" si="43"/>
        <v>219941.886</v>
      </c>
      <c r="I174" s="12">
        <f t="shared" si="44"/>
        <v>192449.1503</v>
      </c>
      <c r="J174" s="11">
        <v>167224.0</v>
      </c>
      <c r="K174" s="16">
        <v>255153.0</v>
      </c>
      <c r="L174" s="9"/>
    </row>
    <row r="175">
      <c r="A175" s="5" t="s">
        <v>11</v>
      </c>
      <c r="B175" s="18">
        <v>46.0</v>
      </c>
      <c r="C175" s="7">
        <v>400.0</v>
      </c>
      <c r="D175" s="11">
        <v>38209.0</v>
      </c>
      <c r="E175" s="11">
        <v>118234.0</v>
      </c>
      <c r="F175" s="12">
        <f t="shared" si="41"/>
        <v>272055.0227</v>
      </c>
      <c r="G175" s="12">
        <f t="shared" si="42"/>
        <v>5058.752854</v>
      </c>
      <c r="H175" s="12">
        <f t="shared" si="43"/>
        <v>294113.538</v>
      </c>
      <c r="I175" s="12">
        <f t="shared" si="44"/>
        <v>257349.3458</v>
      </c>
      <c r="J175" s="11">
        <v>222965.0</v>
      </c>
      <c r="K175" s="16">
        <v>341199.0</v>
      </c>
      <c r="L175" s="9"/>
    </row>
    <row r="176">
      <c r="A176" s="5" t="s">
        <v>11</v>
      </c>
      <c r="B176" s="18">
        <v>47.0</v>
      </c>
      <c r="C176" s="7">
        <v>50.0</v>
      </c>
      <c r="D176" s="11">
        <v>1205.0</v>
      </c>
      <c r="E176" s="11">
        <v>4537.0</v>
      </c>
      <c r="F176" s="12">
        <f t="shared" si="41"/>
        <v>43324.8096</v>
      </c>
      <c r="G176" s="12">
        <f t="shared" si="42"/>
        <v>805.6072704</v>
      </c>
      <c r="H176" s="12">
        <f t="shared" si="43"/>
        <v>46837.632</v>
      </c>
      <c r="I176" s="12">
        <f t="shared" si="44"/>
        <v>40982.928</v>
      </c>
      <c r="J176" s="12">
        <v>50000.0</v>
      </c>
      <c r="K176" s="17">
        <v>54336.0</v>
      </c>
      <c r="L176" s="9"/>
    </row>
    <row r="177">
      <c r="A177" s="5" t="s">
        <v>11</v>
      </c>
      <c r="B177" s="18">
        <v>47.0</v>
      </c>
      <c r="C177" s="7">
        <v>100.0</v>
      </c>
      <c r="D177" s="11">
        <v>8681.0</v>
      </c>
      <c r="E177" s="11">
        <v>26846.0</v>
      </c>
      <c r="F177" s="12">
        <f t="shared" si="41"/>
        <v>61525.91805</v>
      </c>
      <c r="G177" s="12">
        <f t="shared" si="42"/>
        <v>1144.049503</v>
      </c>
      <c r="H177" s="12">
        <f t="shared" si="43"/>
        <v>66514.506</v>
      </c>
      <c r="I177" s="12">
        <f t="shared" si="44"/>
        <v>58200.19275</v>
      </c>
      <c r="J177" s="12">
        <v>52466.0</v>
      </c>
      <c r="K177" s="17">
        <v>77163.0</v>
      </c>
      <c r="L177" s="9"/>
    </row>
    <row r="178">
      <c r="A178" s="5" t="s">
        <v>11</v>
      </c>
      <c r="B178" s="18">
        <v>47.0</v>
      </c>
      <c r="C178" s="7">
        <v>150.0</v>
      </c>
      <c r="D178" s="11">
        <v>13527.0</v>
      </c>
      <c r="E178" s="11">
        <v>41757.0</v>
      </c>
      <c r="F178" s="12">
        <f t="shared" si="41"/>
        <v>93371.2797</v>
      </c>
      <c r="G178" s="12">
        <f t="shared" si="42"/>
        <v>1736.201093</v>
      </c>
      <c r="H178" s="12">
        <f t="shared" si="43"/>
        <v>100941.924</v>
      </c>
      <c r="I178" s="12">
        <f t="shared" si="44"/>
        <v>88324.1835</v>
      </c>
      <c r="J178" s="12">
        <v>78699.0</v>
      </c>
      <c r="K178" s="17">
        <v>117102.0</v>
      </c>
      <c r="L178" s="9"/>
    </row>
    <row r="179">
      <c r="A179" s="5" t="s">
        <v>11</v>
      </c>
      <c r="B179" s="18">
        <v>47.0</v>
      </c>
      <c r="C179" s="7">
        <v>200.0</v>
      </c>
      <c r="D179" s="11">
        <v>18373.0</v>
      </c>
      <c r="E179" s="11">
        <v>56669.0</v>
      </c>
      <c r="F179" s="12">
        <f t="shared" si="41"/>
        <v>125217.4387</v>
      </c>
      <c r="G179" s="12">
        <f t="shared" si="42"/>
        <v>2328.367509</v>
      </c>
      <c r="H179" s="12">
        <f t="shared" si="43"/>
        <v>135370.204</v>
      </c>
      <c r="I179" s="12">
        <f t="shared" si="44"/>
        <v>118448.9285</v>
      </c>
      <c r="J179" s="12">
        <v>104932.0</v>
      </c>
      <c r="K179" s="17">
        <v>157042.0</v>
      </c>
      <c r="L179" s="9"/>
    </row>
    <row r="180">
      <c r="A180" s="5" t="s">
        <v>11</v>
      </c>
      <c r="B180" s="18">
        <v>47.0</v>
      </c>
      <c r="C180" s="7">
        <v>300.0</v>
      </c>
      <c r="D180" s="11">
        <v>28110.0</v>
      </c>
      <c r="E180" s="11">
        <v>86787.0</v>
      </c>
      <c r="F180" s="12">
        <f t="shared" si="41"/>
        <v>189110.6889</v>
      </c>
      <c r="G180" s="12">
        <f t="shared" si="42"/>
        <v>3516.436594</v>
      </c>
      <c r="H180" s="12">
        <f t="shared" si="43"/>
        <v>204443.988</v>
      </c>
      <c r="I180" s="12">
        <f t="shared" si="44"/>
        <v>178888.4895</v>
      </c>
      <c r="J180" s="11">
        <v>157397.0</v>
      </c>
      <c r="K180" s="17">
        <v>237174.0</v>
      </c>
      <c r="L180" s="9"/>
    </row>
    <row r="181">
      <c r="A181" s="5" t="s">
        <v>11</v>
      </c>
      <c r="B181" s="18">
        <v>47.0</v>
      </c>
      <c r="C181" s="7">
        <v>400.0</v>
      </c>
      <c r="D181" s="11">
        <v>37817.0</v>
      </c>
      <c r="E181" s="11">
        <v>116711.0</v>
      </c>
      <c r="F181" s="12">
        <f t="shared" si="41"/>
        <v>252872.3764</v>
      </c>
      <c r="G181" s="12">
        <f t="shared" si="42"/>
        <v>4702.059322</v>
      </c>
      <c r="H181" s="12">
        <f t="shared" si="43"/>
        <v>273375.542</v>
      </c>
      <c r="I181" s="12">
        <f t="shared" si="44"/>
        <v>239203.5993</v>
      </c>
      <c r="J181" s="11">
        <v>209863.0</v>
      </c>
      <c r="K181" s="17">
        <v>317141.0</v>
      </c>
      <c r="L181" s="9"/>
    </row>
    <row r="182">
      <c r="A182" s="5" t="s">
        <v>11</v>
      </c>
      <c r="B182" s="18">
        <v>48.0</v>
      </c>
      <c r="C182" s="7">
        <v>50.0</v>
      </c>
      <c r="D182" s="11">
        <v>793.0</v>
      </c>
      <c r="E182" s="11">
        <v>3281.0</v>
      </c>
      <c r="F182" s="12">
        <f t="shared" si="41"/>
        <v>42336.0956</v>
      </c>
      <c r="G182" s="12">
        <f t="shared" si="42"/>
        <v>787.2225344</v>
      </c>
      <c r="H182" s="12">
        <f t="shared" si="43"/>
        <v>45768.752</v>
      </c>
      <c r="I182" s="12">
        <f t="shared" si="44"/>
        <v>40047.658</v>
      </c>
      <c r="J182" s="12">
        <v>50000.0</v>
      </c>
      <c r="K182" s="16">
        <v>53096.0</v>
      </c>
      <c r="L182" s="9"/>
    </row>
    <row r="183">
      <c r="A183" s="5" t="s">
        <v>11</v>
      </c>
      <c r="B183" s="18">
        <v>48.0</v>
      </c>
      <c r="C183" s="7">
        <v>100.0</v>
      </c>
      <c r="D183" s="11">
        <v>8542.0</v>
      </c>
      <c r="E183" s="11">
        <v>26357.0</v>
      </c>
      <c r="F183" s="12">
        <f t="shared" si="41"/>
        <v>57608.5375</v>
      </c>
      <c r="G183" s="12">
        <f t="shared" si="42"/>
        <v>1071.2074</v>
      </c>
      <c r="H183" s="12">
        <f t="shared" si="43"/>
        <v>62279.5</v>
      </c>
      <c r="I183" s="12">
        <f t="shared" si="44"/>
        <v>54494.5625</v>
      </c>
      <c r="J183" s="12">
        <v>50000.0</v>
      </c>
      <c r="K183" s="16">
        <v>72250.0</v>
      </c>
      <c r="L183" s="9"/>
    </row>
    <row r="184">
      <c r="A184" s="5" t="s">
        <v>11</v>
      </c>
      <c r="B184" s="18">
        <v>48.0</v>
      </c>
      <c r="C184" s="7">
        <v>150.0</v>
      </c>
      <c r="D184" s="11">
        <v>13398.0</v>
      </c>
      <c r="E184" s="11">
        <v>41249.0</v>
      </c>
      <c r="F184" s="12">
        <f t="shared" si="41"/>
        <v>87010.81875</v>
      </c>
      <c r="G184" s="12">
        <f t="shared" si="42"/>
        <v>1617.9309</v>
      </c>
      <c r="H184" s="12">
        <f t="shared" si="43"/>
        <v>94065.75</v>
      </c>
      <c r="I184" s="12">
        <f t="shared" si="44"/>
        <v>82307.53125</v>
      </c>
      <c r="J184" s="12">
        <v>74331.0</v>
      </c>
      <c r="K184" s="16">
        <v>109125.0</v>
      </c>
      <c r="L184" s="9"/>
    </row>
    <row r="185">
      <c r="A185" s="5" t="s">
        <v>11</v>
      </c>
      <c r="B185" s="18">
        <v>48.0</v>
      </c>
      <c r="C185" s="7">
        <v>200.0</v>
      </c>
      <c r="D185" s="11">
        <v>18200.0</v>
      </c>
      <c r="E185" s="11">
        <v>55991.0</v>
      </c>
      <c r="F185" s="12">
        <f t="shared" si="41"/>
        <v>116671.4414</v>
      </c>
      <c r="G185" s="12">
        <f t="shared" si="42"/>
        <v>2169.458154</v>
      </c>
      <c r="H185" s="12">
        <f t="shared" si="43"/>
        <v>126131.288</v>
      </c>
      <c r="I185" s="12">
        <f t="shared" si="44"/>
        <v>110364.877</v>
      </c>
      <c r="J185" s="12">
        <v>99108.0</v>
      </c>
      <c r="K185" s="16">
        <v>146324.0</v>
      </c>
      <c r="L185" s="9"/>
    </row>
    <row r="186">
      <c r="A186" s="5" t="s">
        <v>11</v>
      </c>
      <c r="B186" s="18">
        <v>48.0</v>
      </c>
      <c r="C186" s="7">
        <v>300.0</v>
      </c>
      <c r="D186" s="11">
        <v>27851.0</v>
      </c>
      <c r="E186" s="11">
        <v>85767.0</v>
      </c>
      <c r="F186" s="12">
        <f t="shared" si="41"/>
        <v>176164.9143</v>
      </c>
      <c r="G186" s="12">
        <f t="shared" si="42"/>
        <v>3275.715163</v>
      </c>
      <c r="H186" s="12">
        <f t="shared" si="43"/>
        <v>190448.556</v>
      </c>
      <c r="I186" s="12">
        <f t="shared" si="44"/>
        <v>166642.4865</v>
      </c>
      <c r="J186" s="11">
        <v>148662.0</v>
      </c>
      <c r="K186" s="16">
        <v>220938.0</v>
      </c>
      <c r="L186" s="9"/>
    </row>
    <row r="187">
      <c r="A187" s="5" t="s">
        <v>11</v>
      </c>
      <c r="B187" s="18">
        <v>48.0</v>
      </c>
      <c r="C187" s="7">
        <v>400.0</v>
      </c>
      <c r="D187" s="11">
        <v>37472.0</v>
      </c>
      <c r="E187" s="11">
        <v>115352.0</v>
      </c>
      <c r="F187" s="12">
        <f t="shared" si="41"/>
        <v>235545.9609</v>
      </c>
      <c r="G187" s="12">
        <f t="shared" si="42"/>
        <v>4379.88165</v>
      </c>
      <c r="H187" s="12">
        <f t="shared" si="43"/>
        <v>254644.282</v>
      </c>
      <c r="I187" s="12">
        <f t="shared" si="44"/>
        <v>222813.7468</v>
      </c>
      <c r="J187" s="11">
        <v>198216.0</v>
      </c>
      <c r="K187" s="16">
        <v>295411.0</v>
      </c>
      <c r="L187" s="9"/>
    </row>
    <row r="188">
      <c r="A188" s="5" t="s">
        <v>11</v>
      </c>
      <c r="B188" s="18">
        <v>49.0</v>
      </c>
      <c r="C188" s="7">
        <v>50.0</v>
      </c>
      <c r="D188" s="12" t="s">
        <v>12</v>
      </c>
      <c r="E188" s="12" t="s">
        <v>12</v>
      </c>
      <c r="F188" s="12" t="s">
        <v>12</v>
      </c>
      <c r="G188" s="12" t="s">
        <v>12</v>
      </c>
      <c r="H188" s="12" t="s">
        <v>12</v>
      </c>
      <c r="I188" s="12" t="s">
        <v>12</v>
      </c>
      <c r="J188" s="12" t="s">
        <v>12</v>
      </c>
      <c r="K188" s="20" t="s">
        <v>12</v>
      </c>
      <c r="L188" s="9"/>
    </row>
    <row r="189">
      <c r="A189" s="5" t="s">
        <v>11</v>
      </c>
      <c r="B189" s="18">
        <v>49.0</v>
      </c>
      <c r="C189" s="7">
        <v>100.0</v>
      </c>
      <c r="D189" s="11">
        <v>8129.0</v>
      </c>
      <c r="E189" s="11">
        <v>25095.0</v>
      </c>
      <c r="F189" s="12">
        <f t="shared" ref="F189:F193" si="45">H189*92.5%</f>
        <v>55337.6847</v>
      </c>
      <c r="G189" s="12">
        <f t="shared" ref="G189:G193" si="46">H189*0.0172</f>
        <v>1028.981813</v>
      </c>
      <c r="H189" s="12">
        <f t="shared" ref="H189:H193" si="47">K189*86.2%</f>
        <v>59824.524</v>
      </c>
      <c r="I189" s="12">
        <f t="shared" ref="I189:I193" si="48">H189*87.5%</f>
        <v>52346.4585</v>
      </c>
      <c r="J189" s="12">
        <v>50000.0</v>
      </c>
      <c r="K189" s="17">
        <v>69402.0</v>
      </c>
      <c r="L189" s="9"/>
    </row>
    <row r="190">
      <c r="A190" s="5" t="s">
        <v>11</v>
      </c>
      <c r="B190" s="18">
        <v>49.0</v>
      </c>
      <c r="C190" s="7">
        <v>150.0</v>
      </c>
      <c r="D190" s="11">
        <v>13281.0</v>
      </c>
      <c r="E190" s="11">
        <v>40786.0</v>
      </c>
      <c r="F190" s="12">
        <f t="shared" si="45"/>
        <v>81209.30015</v>
      </c>
      <c r="G190" s="12">
        <f t="shared" si="46"/>
        <v>1510.054014</v>
      </c>
      <c r="H190" s="12">
        <f t="shared" si="47"/>
        <v>87793.838</v>
      </c>
      <c r="I190" s="12">
        <f t="shared" si="48"/>
        <v>76819.60825</v>
      </c>
      <c r="J190" s="12">
        <v>70422.0</v>
      </c>
      <c r="K190" s="17">
        <v>101849.0</v>
      </c>
      <c r="L190" s="9"/>
    </row>
    <row r="191">
      <c r="A191" s="5" t="s">
        <v>11</v>
      </c>
      <c r="B191" s="18">
        <v>49.0</v>
      </c>
      <c r="C191" s="7">
        <v>200.0</v>
      </c>
      <c r="D191" s="11">
        <v>18045.0</v>
      </c>
      <c r="E191" s="11">
        <v>55374.0</v>
      </c>
      <c r="F191" s="12">
        <f t="shared" si="45"/>
        <v>108875.7505</v>
      </c>
      <c r="G191" s="12">
        <f t="shared" si="46"/>
        <v>2024.500441</v>
      </c>
      <c r="H191" s="12">
        <f t="shared" si="47"/>
        <v>117703.514</v>
      </c>
      <c r="I191" s="12">
        <f t="shared" si="48"/>
        <v>102990.5748</v>
      </c>
      <c r="J191" s="12">
        <v>93896.0</v>
      </c>
      <c r="K191" s="17">
        <v>136547.0</v>
      </c>
      <c r="L191" s="9"/>
    </row>
    <row r="192">
      <c r="A192" s="5" t="s">
        <v>11</v>
      </c>
      <c r="B192" s="18">
        <v>49.0</v>
      </c>
      <c r="C192" s="7">
        <v>300.0</v>
      </c>
      <c r="D192" s="11">
        <v>27617.0</v>
      </c>
      <c r="E192" s="11">
        <v>84839.0</v>
      </c>
      <c r="F192" s="12">
        <f t="shared" si="45"/>
        <v>164353.7688</v>
      </c>
      <c r="G192" s="12">
        <f t="shared" si="46"/>
        <v>3056.0917</v>
      </c>
      <c r="H192" s="12">
        <f t="shared" si="47"/>
        <v>177679.75</v>
      </c>
      <c r="I192" s="12">
        <f t="shared" si="48"/>
        <v>155469.7813</v>
      </c>
      <c r="J192" s="11">
        <v>140845.0</v>
      </c>
      <c r="K192" s="17">
        <v>206125.0</v>
      </c>
      <c r="L192" s="9"/>
    </row>
    <row r="193">
      <c r="A193" s="5" t="s">
        <v>11</v>
      </c>
      <c r="B193" s="18">
        <v>49.0</v>
      </c>
      <c r="C193" s="7">
        <v>400.0</v>
      </c>
      <c r="D193" s="11">
        <v>37160.0</v>
      </c>
      <c r="E193" s="11">
        <v>114114.0</v>
      </c>
      <c r="F193" s="12">
        <f t="shared" si="45"/>
        <v>219736.9024</v>
      </c>
      <c r="G193" s="12">
        <f t="shared" si="46"/>
        <v>4085.918618</v>
      </c>
      <c r="H193" s="12">
        <f t="shared" si="47"/>
        <v>237553.408</v>
      </c>
      <c r="I193" s="12">
        <f t="shared" si="48"/>
        <v>207859.232</v>
      </c>
      <c r="J193" s="11">
        <v>187793.0</v>
      </c>
      <c r="K193" s="17">
        <v>275584.0</v>
      </c>
      <c r="L193" s="9"/>
    </row>
    <row r="194">
      <c r="A194" s="5" t="s">
        <v>11</v>
      </c>
      <c r="B194" s="18">
        <v>50.0</v>
      </c>
      <c r="C194" s="7">
        <v>50.0</v>
      </c>
      <c r="D194" s="12" t="s">
        <v>12</v>
      </c>
      <c r="E194" s="12" t="s">
        <v>12</v>
      </c>
      <c r="F194" s="12" t="s">
        <v>12</v>
      </c>
      <c r="G194" s="12" t="s">
        <v>12</v>
      </c>
      <c r="H194" s="12" t="s">
        <v>12</v>
      </c>
      <c r="I194" s="12" t="s">
        <v>12</v>
      </c>
      <c r="J194" s="12" t="s">
        <v>12</v>
      </c>
      <c r="K194" s="20" t="s">
        <v>12</v>
      </c>
      <c r="L194" s="9"/>
    </row>
    <row r="195">
      <c r="A195" s="5" t="s">
        <v>11</v>
      </c>
      <c r="B195" s="18">
        <v>50.0</v>
      </c>
      <c r="C195" s="7">
        <v>100.0</v>
      </c>
      <c r="D195" s="11">
        <v>7717.0</v>
      </c>
      <c r="E195" s="11">
        <v>23826.0</v>
      </c>
      <c r="F195" s="12">
        <f t="shared" ref="F195:F199" si="49">H195*92.5%</f>
        <v>53274.1429</v>
      </c>
      <c r="G195" s="12">
        <f t="shared" ref="G195:G199" si="50">H195*0.0172</f>
        <v>990.6110896</v>
      </c>
      <c r="H195" s="12">
        <f t="shared" ref="H195:H199" si="51">K195*86.2%</f>
        <v>57593.668</v>
      </c>
      <c r="I195" s="12">
        <f t="shared" ref="I195:I199" si="52">H195*87.5%</f>
        <v>50394.4595</v>
      </c>
      <c r="J195" s="12">
        <v>50000.0</v>
      </c>
      <c r="K195" s="16">
        <v>66814.0</v>
      </c>
      <c r="L195" s="9"/>
    </row>
    <row r="196">
      <c r="A196" s="5" t="s">
        <v>11</v>
      </c>
      <c r="B196" s="18">
        <v>50.0</v>
      </c>
      <c r="C196" s="7">
        <v>150.0</v>
      </c>
      <c r="D196" s="11">
        <v>13177.0</v>
      </c>
      <c r="E196" s="11">
        <v>40361.0</v>
      </c>
      <c r="F196" s="12">
        <f t="shared" si="49"/>
        <v>75891.773</v>
      </c>
      <c r="G196" s="12">
        <f t="shared" si="50"/>
        <v>1411.176752</v>
      </c>
      <c r="H196" s="12">
        <f t="shared" si="51"/>
        <v>82045.16</v>
      </c>
      <c r="I196" s="12">
        <f t="shared" si="52"/>
        <v>71789.515</v>
      </c>
      <c r="J196" s="12">
        <v>66904.0</v>
      </c>
      <c r="K196" s="16">
        <v>95180.0</v>
      </c>
      <c r="L196" s="9"/>
    </row>
    <row r="197">
      <c r="A197" s="5" t="s">
        <v>11</v>
      </c>
      <c r="B197" s="18">
        <v>50.0</v>
      </c>
      <c r="C197" s="7">
        <v>200.0</v>
      </c>
      <c r="D197" s="11">
        <v>17906.0</v>
      </c>
      <c r="E197" s="11">
        <v>54807.0</v>
      </c>
      <c r="F197" s="12">
        <f t="shared" si="49"/>
        <v>101729.1024</v>
      </c>
      <c r="G197" s="12">
        <f t="shared" si="50"/>
        <v>1891.611418</v>
      </c>
      <c r="H197" s="12">
        <f t="shared" si="51"/>
        <v>109977.408</v>
      </c>
      <c r="I197" s="12">
        <f t="shared" si="52"/>
        <v>96230.232</v>
      </c>
      <c r="J197" s="12">
        <v>89206.0</v>
      </c>
      <c r="K197" s="16">
        <v>127584.0</v>
      </c>
      <c r="L197" s="9"/>
    </row>
    <row r="198">
      <c r="A198" s="5" t="s">
        <v>11</v>
      </c>
      <c r="B198" s="18">
        <v>50.0</v>
      </c>
      <c r="C198" s="7">
        <v>300.0</v>
      </c>
      <c r="D198" s="11">
        <v>27409.0</v>
      </c>
      <c r="E198" s="11">
        <v>83986.0</v>
      </c>
      <c r="F198" s="12">
        <f t="shared" si="49"/>
        <v>153524.9584</v>
      </c>
      <c r="G198" s="12">
        <f t="shared" si="50"/>
        <v>2854.734362</v>
      </c>
      <c r="H198" s="12">
        <f t="shared" si="51"/>
        <v>165972.928</v>
      </c>
      <c r="I198" s="12">
        <f t="shared" si="52"/>
        <v>145226.312</v>
      </c>
      <c r="J198" s="11">
        <v>133809.0</v>
      </c>
      <c r="K198" s="16">
        <v>192544.0</v>
      </c>
      <c r="L198" s="9"/>
    </row>
    <row r="199">
      <c r="A199" s="5" t="s">
        <v>11</v>
      </c>
      <c r="B199" s="18">
        <v>50.0</v>
      </c>
      <c r="C199" s="7">
        <v>400.0</v>
      </c>
      <c r="D199" s="11">
        <v>36883.0</v>
      </c>
      <c r="E199" s="11">
        <v>112977.0</v>
      </c>
      <c r="F199" s="12">
        <f t="shared" si="49"/>
        <v>205241.8768</v>
      </c>
      <c r="G199" s="12">
        <f t="shared" si="50"/>
        <v>3816.389492</v>
      </c>
      <c r="H199" s="12">
        <f t="shared" si="51"/>
        <v>221883.11</v>
      </c>
      <c r="I199" s="12">
        <f t="shared" si="52"/>
        <v>194147.7213</v>
      </c>
      <c r="J199" s="11">
        <v>178412.0</v>
      </c>
      <c r="K199" s="16">
        <v>257405.0</v>
      </c>
      <c r="L199" s="9"/>
    </row>
    <row r="200">
      <c r="A200" s="5" t="s">
        <v>11</v>
      </c>
      <c r="B200" s="18">
        <v>51.0</v>
      </c>
      <c r="C200" s="7">
        <v>50.0</v>
      </c>
      <c r="D200" s="12" t="s">
        <v>12</v>
      </c>
      <c r="E200" s="12" t="s">
        <v>12</v>
      </c>
      <c r="F200" s="12" t="s">
        <v>12</v>
      </c>
      <c r="G200" s="12" t="s">
        <v>12</v>
      </c>
      <c r="H200" s="12" t="s">
        <v>12</v>
      </c>
      <c r="I200" s="12" t="s">
        <v>12</v>
      </c>
      <c r="J200" s="12" t="s">
        <v>12</v>
      </c>
      <c r="K200" s="20" t="s">
        <v>12</v>
      </c>
      <c r="L200" s="9"/>
    </row>
    <row r="201">
      <c r="A201" s="5" t="s">
        <v>11</v>
      </c>
      <c r="B201" s="18">
        <v>51.0</v>
      </c>
      <c r="C201" s="7">
        <v>100.0</v>
      </c>
      <c r="D201" s="11">
        <v>7211.0</v>
      </c>
      <c r="E201" s="11">
        <v>21902.0</v>
      </c>
      <c r="F201" s="12">
        <f t="shared" ref="F201:F205" si="53">H201*92.5%</f>
        <v>51149.20515</v>
      </c>
      <c r="G201" s="12">
        <f t="shared" ref="G201:G205" si="54">H201*0.0172</f>
        <v>951.0987336</v>
      </c>
      <c r="H201" s="12">
        <f t="shared" ref="H201:H205" si="55">K201*86.2%</f>
        <v>55296.438</v>
      </c>
      <c r="I201" s="12">
        <f t="shared" ref="I201:I205" si="56">H201*87.5%</f>
        <v>48384.38325</v>
      </c>
      <c r="J201" s="12">
        <v>50000.0</v>
      </c>
      <c r="K201" s="17">
        <v>64149.0</v>
      </c>
      <c r="L201" s="9"/>
    </row>
    <row r="202">
      <c r="A202" s="5" t="s">
        <v>11</v>
      </c>
      <c r="B202" s="18">
        <v>51.0</v>
      </c>
      <c r="C202" s="7">
        <v>150.0</v>
      </c>
      <c r="D202" s="11">
        <v>12991.0</v>
      </c>
      <c r="E202" s="11">
        <v>39221.0</v>
      </c>
      <c r="F202" s="12">
        <f t="shared" si="53"/>
        <v>70567.0697</v>
      </c>
      <c r="G202" s="12">
        <f t="shared" si="54"/>
        <v>1312.166053</v>
      </c>
      <c r="H202" s="12">
        <f t="shared" si="55"/>
        <v>76288.724</v>
      </c>
      <c r="I202" s="12">
        <f t="shared" si="56"/>
        <v>66752.6335</v>
      </c>
      <c r="J202" s="12">
        <v>63532.0</v>
      </c>
      <c r="K202" s="17">
        <v>88502.0</v>
      </c>
      <c r="L202" s="9"/>
    </row>
    <row r="203">
      <c r="A203" s="5" t="s">
        <v>11</v>
      </c>
      <c r="B203" s="18">
        <v>51.0</v>
      </c>
      <c r="C203" s="7">
        <v>200.0</v>
      </c>
      <c r="D203" s="11">
        <v>17658.0</v>
      </c>
      <c r="E203" s="11">
        <v>53286.0</v>
      </c>
      <c r="F203" s="12">
        <f t="shared" si="53"/>
        <v>94576.8729</v>
      </c>
      <c r="G203" s="12">
        <f t="shared" si="54"/>
        <v>1758.61861</v>
      </c>
      <c r="H203" s="12">
        <f t="shared" si="55"/>
        <v>102245.268</v>
      </c>
      <c r="I203" s="12">
        <f t="shared" si="56"/>
        <v>89464.6095</v>
      </c>
      <c r="J203" s="12">
        <v>84710.0</v>
      </c>
      <c r="K203" s="17">
        <v>118614.0</v>
      </c>
      <c r="L203" s="9"/>
    </row>
    <row r="204">
      <c r="A204" s="5" t="s">
        <v>11</v>
      </c>
      <c r="B204" s="18">
        <v>51.0</v>
      </c>
      <c r="C204" s="7">
        <v>300.0</v>
      </c>
      <c r="D204" s="11">
        <v>27036.0</v>
      </c>
      <c r="E204" s="11">
        <v>81701.0</v>
      </c>
      <c r="F204" s="12">
        <f t="shared" si="53"/>
        <v>142695.3507</v>
      </c>
      <c r="G204" s="12">
        <f t="shared" si="54"/>
        <v>2653.362197</v>
      </c>
      <c r="H204" s="12">
        <f t="shared" si="55"/>
        <v>154265.244</v>
      </c>
      <c r="I204" s="12">
        <f t="shared" si="56"/>
        <v>134982.0885</v>
      </c>
      <c r="J204" s="11">
        <v>127064.0</v>
      </c>
      <c r="K204" s="17">
        <v>178962.0</v>
      </c>
      <c r="L204" s="9"/>
    </row>
    <row r="205">
      <c r="A205" s="5" t="s">
        <v>11</v>
      </c>
      <c r="B205" s="18">
        <v>51.0</v>
      </c>
      <c r="C205" s="7">
        <v>400.0</v>
      </c>
      <c r="D205" s="11">
        <v>36386.0</v>
      </c>
      <c r="E205" s="11">
        <v>109930.0</v>
      </c>
      <c r="F205" s="12">
        <f t="shared" si="53"/>
        <v>190749.2432</v>
      </c>
      <c r="G205" s="12">
        <f t="shared" si="54"/>
        <v>3546.904846</v>
      </c>
      <c r="H205" s="12">
        <f t="shared" si="55"/>
        <v>206215.398</v>
      </c>
      <c r="I205" s="12">
        <f t="shared" si="56"/>
        <v>180438.4733</v>
      </c>
      <c r="J205" s="11">
        <v>169419.0</v>
      </c>
      <c r="K205" s="17">
        <v>239229.0</v>
      </c>
      <c r="L205" s="9"/>
    </row>
    <row r="206">
      <c r="A206" s="5" t="s">
        <v>11</v>
      </c>
      <c r="B206" s="18">
        <v>52.0</v>
      </c>
      <c r="C206" s="7">
        <v>50.0</v>
      </c>
      <c r="D206" s="12" t="s">
        <v>12</v>
      </c>
      <c r="E206" s="12" t="s">
        <v>12</v>
      </c>
      <c r="F206" s="12" t="s">
        <v>12</v>
      </c>
      <c r="G206" s="12" t="s">
        <v>12</v>
      </c>
      <c r="H206" s="12" t="s">
        <v>12</v>
      </c>
      <c r="I206" s="12" t="s">
        <v>12</v>
      </c>
      <c r="J206" s="12" t="s">
        <v>12</v>
      </c>
      <c r="K206" s="20" t="s">
        <v>12</v>
      </c>
      <c r="L206" s="9"/>
    </row>
    <row r="207">
      <c r="A207" s="5" t="s">
        <v>11</v>
      </c>
      <c r="B207" s="18">
        <v>52.0</v>
      </c>
      <c r="C207" s="7">
        <v>100.0</v>
      </c>
      <c r="D207" s="11">
        <v>6705.0</v>
      </c>
      <c r="E207" s="11">
        <v>19989.0</v>
      </c>
      <c r="F207" s="12">
        <f t="shared" ref="F207:F211" si="57">H207*92.5%</f>
        <v>49274.6353</v>
      </c>
      <c r="G207" s="12">
        <f t="shared" ref="G207:G211" si="58">H207*0.0172</f>
        <v>916.2418672</v>
      </c>
      <c r="H207" s="12">
        <f t="shared" ref="H207:H211" si="59">K207*86.2%</f>
        <v>53269.876</v>
      </c>
      <c r="I207" s="12">
        <f t="shared" ref="I207:I211" si="60">H207*87.5%</f>
        <v>46611.1415</v>
      </c>
      <c r="J207" s="12">
        <v>50000.0</v>
      </c>
      <c r="K207" s="16">
        <v>61798.0</v>
      </c>
      <c r="L207" s="9"/>
    </row>
    <row r="208">
      <c r="A208" s="5" t="s">
        <v>11</v>
      </c>
      <c r="B208" s="18">
        <v>52.0</v>
      </c>
      <c r="C208" s="7">
        <v>150.0</v>
      </c>
      <c r="D208" s="11">
        <v>12853.0</v>
      </c>
      <c r="E208" s="11">
        <v>38295.0</v>
      </c>
      <c r="F208" s="12">
        <f t="shared" si="57"/>
        <v>65645.02815</v>
      </c>
      <c r="G208" s="12">
        <f t="shared" si="58"/>
        <v>1220.642686</v>
      </c>
      <c r="H208" s="12">
        <f t="shared" si="59"/>
        <v>70967.598</v>
      </c>
      <c r="I208" s="12">
        <f t="shared" si="60"/>
        <v>62096.64825</v>
      </c>
      <c r="J208" s="12">
        <v>60289.0</v>
      </c>
      <c r="K208" s="16">
        <v>82329.0</v>
      </c>
      <c r="L208" s="9"/>
    </row>
    <row r="209">
      <c r="A209" s="5" t="s">
        <v>11</v>
      </c>
      <c r="B209" s="18">
        <v>52.0</v>
      </c>
      <c r="C209" s="7">
        <v>200.0</v>
      </c>
      <c r="D209" s="11">
        <v>17474.0</v>
      </c>
      <c r="E209" s="11">
        <v>52052.0</v>
      </c>
      <c r="F209" s="12">
        <f t="shared" si="57"/>
        <v>87964.44935</v>
      </c>
      <c r="G209" s="12">
        <f t="shared" si="58"/>
        <v>1635.663274</v>
      </c>
      <c r="H209" s="12">
        <f t="shared" si="59"/>
        <v>95096.702</v>
      </c>
      <c r="I209" s="12">
        <f t="shared" si="60"/>
        <v>83209.61425</v>
      </c>
      <c r="J209" s="12">
        <v>80386.0</v>
      </c>
      <c r="K209" s="16">
        <v>110321.0</v>
      </c>
      <c r="L209" s="9"/>
    </row>
    <row r="210">
      <c r="A210" s="5" t="s">
        <v>11</v>
      </c>
      <c r="B210" s="18">
        <v>52.0</v>
      </c>
      <c r="C210" s="7">
        <v>300.0</v>
      </c>
      <c r="D210" s="11">
        <v>26760.0</v>
      </c>
      <c r="E210" s="11">
        <v>79845.0</v>
      </c>
      <c r="F210" s="12">
        <f t="shared" si="57"/>
        <v>132684.6215</v>
      </c>
      <c r="G210" s="12">
        <f t="shared" si="58"/>
        <v>2467.216745</v>
      </c>
      <c r="H210" s="12">
        <f t="shared" si="59"/>
        <v>143442.834</v>
      </c>
      <c r="I210" s="12">
        <f t="shared" si="60"/>
        <v>125512.4798</v>
      </c>
      <c r="J210" s="11">
        <v>120578.0</v>
      </c>
      <c r="K210" s="16">
        <v>166407.0</v>
      </c>
      <c r="L210" s="9"/>
    </row>
    <row r="211">
      <c r="A211" s="5" t="s">
        <v>11</v>
      </c>
      <c r="B211" s="18">
        <v>52.0</v>
      </c>
      <c r="C211" s="7">
        <v>400.0</v>
      </c>
      <c r="D211" s="11">
        <v>36017.0</v>
      </c>
      <c r="E211" s="11">
        <v>107456.0</v>
      </c>
      <c r="F211" s="12">
        <f t="shared" si="57"/>
        <v>177351.3711</v>
      </c>
      <c r="G211" s="12">
        <f t="shared" si="58"/>
        <v>3297.776846</v>
      </c>
      <c r="H211" s="12">
        <f t="shared" si="59"/>
        <v>191731.212</v>
      </c>
      <c r="I211" s="12">
        <f t="shared" si="60"/>
        <v>167764.8105</v>
      </c>
      <c r="J211" s="11">
        <v>160771.0</v>
      </c>
      <c r="K211" s="16">
        <v>222426.0</v>
      </c>
      <c r="L211" s="9"/>
    </row>
    <row r="212">
      <c r="A212" s="5" t="s">
        <v>11</v>
      </c>
      <c r="B212" s="18">
        <v>53.0</v>
      </c>
      <c r="C212" s="7">
        <v>50.0</v>
      </c>
      <c r="D212" s="12" t="s">
        <v>12</v>
      </c>
      <c r="E212" s="12" t="s">
        <v>12</v>
      </c>
      <c r="F212" s="12" t="s">
        <v>12</v>
      </c>
      <c r="G212" s="12" t="s">
        <v>12</v>
      </c>
      <c r="H212" s="12" t="s">
        <v>12</v>
      </c>
      <c r="I212" s="12" t="s">
        <v>12</v>
      </c>
      <c r="J212" s="12" t="s">
        <v>12</v>
      </c>
      <c r="K212" s="20" t="s">
        <v>12</v>
      </c>
      <c r="L212" s="9"/>
    </row>
    <row r="213">
      <c r="A213" s="5" t="s">
        <v>11</v>
      </c>
      <c r="B213" s="18">
        <v>53.0</v>
      </c>
      <c r="C213" s="7">
        <v>100.0</v>
      </c>
      <c r="D213" s="11">
        <v>6200.0</v>
      </c>
      <c r="E213" s="11">
        <v>18058.0</v>
      </c>
      <c r="F213" s="12">
        <f t="shared" ref="F213:F217" si="61">H213*92.5%</f>
        <v>47618.53935</v>
      </c>
      <c r="G213" s="12">
        <f t="shared" ref="G213:G217" si="62">H213*0.0172</f>
        <v>885.4474344</v>
      </c>
      <c r="H213" s="12">
        <f t="shared" ref="H213:H217" si="63">K213*86.2%</f>
        <v>51479.502</v>
      </c>
      <c r="I213" s="12">
        <f t="shared" ref="I213:I217" si="64">H213*87.5%</f>
        <v>45044.56425</v>
      </c>
      <c r="J213" s="12">
        <v>50000.0</v>
      </c>
      <c r="K213" s="17">
        <v>59721.0</v>
      </c>
      <c r="L213" s="9"/>
    </row>
    <row r="214">
      <c r="A214" s="5" t="s">
        <v>11</v>
      </c>
      <c r="B214" s="18">
        <v>53.0</v>
      </c>
      <c r="C214" s="7">
        <v>150.0</v>
      </c>
      <c r="D214" s="11">
        <v>12762.0</v>
      </c>
      <c r="E214" s="11">
        <v>37537.0</v>
      </c>
      <c r="F214" s="12">
        <f t="shared" si="61"/>
        <v>61060.26565</v>
      </c>
      <c r="G214" s="12">
        <f t="shared" si="62"/>
        <v>1135.390886</v>
      </c>
      <c r="H214" s="12">
        <f t="shared" si="63"/>
        <v>66011.098</v>
      </c>
      <c r="I214" s="12">
        <f t="shared" si="64"/>
        <v>57759.71075</v>
      </c>
      <c r="J214" s="12">
        <v>57164.0</v>
      </c>
      <c r="K214" s="17">
        <v>76579.0</v>
      </c>
      <c r="L214" s="9"/>
    </row>
    <row r="215">
      <c r="A215" s="5" t="s">
        <v>11</v>
      </c>
      <c r="B215" s="18">
        <v>53.0</v>
      </c>
      <c r="C215" s="7">
        <v>200.0</v>
      </c>
      <c r="D215" s="11">
        <v>17352.0</v>
      </c>
      <c r="E215" s="11">
        <v>51042.0</v>
      </c>
      <c r="F215" s="12">
        <f t="shared" si="61"/>
        <v>81805.71795</v>
      </c>
      <c r="G215" s="12">
        <f t="shared" si="62"/>
        <v>1521.144161</v>
      </c>
      <c r="H215" s="12">
        <f t="shared" si="63"/>
        <v>88438.614</v>
      </c>
      <c r="I215" s="12">
        <f t="shared" si="64"/>
        <v>77383.78725</v>
      </c>
      <c r="J215" s="12">
        <v>76219.0</v>
      </c>
      <c r="K215" s="17">
        <v>102597.0</v>
      </c>
      <c r="L215" s="9"/>
    </row>
    <row r="216">
      <c r="A216" s="5" t="s">
        <v>11</v>
      </c>
      <c r="B216" s="18">
        <v>53.0</v>
      </c>
      <c r="C216" s="7">
        <v>300.0</v>
      </c>
      <c r="D216" s="11">
        <v>26577.0</v>
      </c>
      <c r="E216" s="11">
        <v>78327.0</v>
      </c>
      <c r="F216" s="12">
        <f t="shared" si="61"/>
        <v>123362.0053</v>
      </c>
      <c r="G216" s="12">
        <f t="shared" si="62"/>
        <v>2293.866476</v>
      </c>
      <c r="H216" s="12">
        <f t="shared" si="63"/>
        <v>133364.33</v>
      </c>
      <c r="I216" s="12">
        <f t="shared" si="64"/>
        <v>116693.7888</v>
      </c>
      <c r="J216" s="11">
        <v>114329.0</v>
      </c>
      <c r="K216" s="17">
        <v>154715.0</v>
      </c>
      <c r="L216" s="9"/>
    </row>
    <row r="217">
      <c r="A217" s="5" t="s">
        <v>11</v>
      </c>
      <c r="B217" s="18">
        <v>53.0</v>
      </c>
      <c r="C217" s="7">
        <v>400.0</v>
      </c>
      <c r="D217" s="11">
        <v>35774.0</v>
      </c>
      <c r="E217" s="11">
        <v>105431.0</v>
      </c>
      <c r="F217" s="12">
        <f t="shared" si="61"/>
        <v>164874.4383</v>
      </c>
      <c r="G217" s="12">
        <f t="shared" si="62"/>
        <v>3065.773339</v>
      </c>
      <c r="H217" s="12">
        <f t="shared" si="63"/>
        <v>178242.636</v>
      </c>
      <c r="I217" s="12">
        <f t="shared" si="64"/>
        <v>155962.3065</v>
      </c>
      <c r="J217" s="11">
        <v>152439.0</v>
      </c>
      <c r="K217" s="17">
        <v>206778.0</v>
      </c>
      <c r="L217" s="9"/>
    </row>
    <row r="218">
      <c r="A218" s="5" t="s">
        <v>11</v>
      </c>
      <c r="B218" s="18">
        <v>54.0</v>
      </c>
      <c r="C218" s="7">
        <v>50.0</v>
      </c>
      <c r="D218" s="12" t="s">
        <v>12</v>
      </c>
      <c r="E218" s="12" t="s">
        <v>12</v>
      </c>
      <c r="F218" s="12" t="s">
        <v>12</v>
      </c>
      <c r="G218" s="12" t="s">
        <v>12</v>
      </c>
      <c r="H218" s="12" t="s">
        <v>12</v>
      </c>
      <c r="I218" s="12" t="s">
        <v>12</v>
      </c>
      <c r="J218" s="12" t="s">
        <v>12</v>
      </c>
      <c r="K218" s="20" t="s">
        <v>12</v>
      </c>
      <c r="L218" s="9"/>
    </row>
    <row r="219">
      <c r="A219" s="5" t="s">
        <v>11</v>
      </c>
      <c r="B219" s="18">
        <v>54.0</v>
      </c>
      <c r="C219" s="7">
        <v>100.0</v>
      </c>
      <c r="D219" s="11">
        <v>5694.0</v>
      </c>
      <c r="E219" s="11">
        <v>16060.0</v>
      </c>
      <c r="F219" s="12">
        <f t="shared" ref="F219:F223" si="65">H219*92.5%</f>
        <v>46141.0498</v>
      </c>
      <c r="G219" s="12">
        <f t="shared" ref="G219:G223" si="66">H219*0.0172</f>
        <v>857.9741152</v>
      </c>
      <c r="H219" s="12">
        <f t="shared" ref="H219:H223" si="67">K219*86.2%</f>
        <v>49882.216</v>
      </c>
      <c r="I219" s="12">
        <f t="shared" ref="I219:I223" si="68">H219*87.5%</f>
        <v>43646.939</v>
      </c>
      <c r="J219" s="12">
        <v>50000.0</v>
      </c>
      <c r="K219" s="16">
        <v>57868.0</v>
      </c>
      <c r="L219" s="9"/>
    </row>
    <row r="220">
      <c r="A220" s="5" t="s">
        <v>11</v>
      </c>
      <c r="B220" s="18">
        <v>54.0</v>
      </c>
      <c r="C220" s="7">
        <v>150.0</v>
      </c>
      <c r="D220" s="11">
        <v>12710.0</v>
      </c>
      <c r="E220" s="11">
        <v>36876.0</v>
      </c>
      <c r="F220" s="12">
        <f t="shared" si="65"/>
        <v>56761.7518</v>
      </c>
      <c r="G220" s="12">
        <f t="shared" si="66"/>
        <v>1055.461763</v>
      </c>
      <c r="H220" s="12">
        <f t="shared" si="67"/>
        <v>61364.056</v>
      </c>
      <c r="I220" s="12">
        <f t="shared" si="68"/>
        <v>53693.549</v>
      </c>
      <c r="J220" s="12">
        <v>54171.0</v>
      </c>
      <c r="K220" s="16">
        <v>71188.0</v>
      </c>
      <c r="L220" s="9"/>
    </row>
    <row r="221">
      <c r="A221" s="5" t="s">
        <v>11</v>
      </c>
      <c r="B221" s="18">
        <v>54.0</v>
      </c>
      <c r="C221" s="7">
        <v>200.0</v>
      </c>
      <c r="D221" s="11">
        <v>17283.0</v>
      </c>
      <c r="E221" s="11">
        <v>50160.0</v>
      </c>
      <c r="F221" s="12">
        <f t="shared" si="65"/>
        <v>76029.71455</v>
      </c>
      <c r="G221" s="12">
        <f t="shared" si="66"/>
        <v>1413.741719</v>
      </c>
      <c r="H221" s="12">
        <f t="shared" si="67"/>
        <v>82194.286</v>
      </c>
      <c r="I221" s="12">
        <f t="shared" si="68"/>
        <v>71920.00025</v>
      </c>
      <c r="J221" s="12">
        <v>72228.0</v>
      </c>
      <c r="K221" s="16">
        <v>95353.0</v>
      </c>
      <c r="L221" s="9"/>
    </row>
    <row r="222">
      <c r="A222" s="5" t="s">
        <v>11</v>
      </c>
      <c r="B222" s="18">
        <v>54.0</v>
      </c>
      <c r="C222" s="7">
        <v>300.0</v>
      </c>
      <c r="D222" s="11">
        <v>26473.0</v>
      </c>
      <c r="E222" s="11">
        <v>77003.0</v>
      </c>
      <c r="F222" s="12">
        <f t="shared" si="65"/>
        <v>114620.6572</v>
      </c>
      <c r="G222" s="12">
        <f t="shared" si="66"/>
        <v>2131.324653</v>
      </c>
      <c r="H222" s="12">
        <f t="shared" si="67"/>
        <v>123914.224</v>
      </c>
      <c r="I222" s="12">
        <f t="shared" si="68"/>
        <v>108424.946</v>
      </c>
      <c r="J222" s="11">
        <v>108342.0</v>
      </c>
      <c r="K222" s="16">
        <v>143752.0</v>
      </c>
      <c r="L222" s="9"/>
    </row>
    <row r="223">
      <c r="A223" s="5" t="s">
        <v>11</v>
      </c>
      <c r="B223" s="18">
        <v>54.0</v>
      </c>
      <c r="C223" s="7">
        <v>400.0</v>
      </c>
      <c r="D223" s="11">
        <v>35635.0</v>
      </c>
      <c r="E223" s="11">
        <v>103666.0</v>
      </c>
      <c r="F223" s="12">
        <f t="shared" si="65"/>
        <v>153175.7191</v>
      </c>
      <c r="G223" s="12">
        <f t="shared" si="66"/>
        <v>2848.240398</v>
      </c>
      <c r="H223" s="12">
        <f t="shared" si="67"/>
        <v>165595.372</v>
      </c>
      <c r="I223" s="12">
        <f t="shared" si="68"/>
        <v>144895.9505</v>
      </c>
      <c r="J223" s="11">
        <v>144456.0</v>
      </c>
      <c r="K223" s="16">
        <v>192106.0</v>
      </c>
      <c r="L223" s="9"/>
    </row>
    <row r="224">
      <c r="A224" s="5" t="s">
        <v>11</v>
      </c>
      <c r="B224" s="18">
        <v>55.0</v>
      </c>
      <c r="C224" s="7">
        <v>50.0</v>
      </c>
      <c r="D224" s="12" t="s">
        <v>12</v>
      </c>
      <c r="E224" s="12" t="s">
        <v>12</v>
      </c>
      <c r="F224" s="12" t="s">
        <v>12</v>
      </c>
      <c r="G224" s="12" t="s">
        <v>12</v>
      </c>
      <c r="H224" s="12" t="s">
        <v>12</v>
      </c>
      <c r="I224" s="12" t="s">
        <v>12</v>
      </c>
      <c r="J224" s="12" t="s">
        <v>12</v>
      </c>
      <c r="K224" s="20" t="s">
        <v>12</v>
      </c>
      <c r="L224" s="9"/>
    </row>
    <row r="225">
      <c r="A225" s="5" t="s">
        <v>11</v>
      </c>
      <c r="B225" s="18">
        <v>55.0</v>
      </c>
      <c r="C225" s="7">
        <v>100.0</v>
      </c>
      <c r="D225" s="11">
        <v>5188.0</v>
      </c>
      <c r="E225" s="11">
        <v>13982.0</v>
      </c>
      <c r="F225" s="12">
        <f t="shared" ref="F225:F229" si="69">H225*92.5%</f>
        <v>44807.08325</v>
      </c>
      <c r="G225" s="12">
        <f t="shared" ref="G225:G229" si="70">H225*0.0172</f>
        <v>833.169548</v>
      </c>
      <c r="H225" s="12">
        <f t="shared" ref="H225:H229" si="71">K225*86.2%</f>
        <v>48440.09</v>
      </c>
      <c r="I225" s="12">
        <f t="shared" ref="I225:I229" si="72">H225*87.5%</f>
        <v>42385.07875</v>
      </c>
      <c r="J225" s="12">
        <v>50000.0</v>
      </c>
      <c r="K225" s="17">
        <v>56195.0</v>
      </c>
      <c r="L225" s="9"/>
    </row>
    <row r="226">
      <c r="A226" s="5" t="s">
        <v>11</v>
      </c>
      <c r="B226" s="18">
        <v>55.0</v>
      </c>
      <c r="C226" s="7">
        <v>150.0</v>
      </c>
      <c r="D226" s="11">
        <v>12692.0</v>
      </c>
      <c r="E226" s="11">
        <v>36292.0</v>
      </c>
      <c r="F226" s="12">
        <f t="shared" si="69"/>
        <v>52709.6191</v>
      </c>
      <c r="G226" s="12">
        <f t="shared" si="70"/>
        <v>980.1139984</v>
      </c>
      <c r="H226" s="12">
        <f t="shared" si="71"/>
        <v>56983.372</v>
      </c>
      <c r="I226" s="12">
        <f t="shared" si="72"/>
        <v>49860.4505</v>
      </c>
      <c r="J226" s="12">
        <v>51317.0</v>
      </c>
      <c r="K226" s="17">
        <v>66106.0</v>
      </c>
      <c r="L226" s="9"/>
    </row>
    <row r="227">
      <c r="A227" s="5" t="s">
        <v>11</v>
      </c>
      <c r="B227" s="18">
        <v>55.0</v>
      </c>
      <c r="C227" s="7">
        <v>200.0</v>
      </c>
      <c r="D227" s="11">
        <v>17260.0</v>
      </c>
      <c r="E227" s="11">
        <v>49382.0</v>
      </c>
      <c r="F227" s="12">
        <f t="shared" si="69"/>
        <v>70586.2061</v>
      </c>
      <c r="G227" s="12">
        <f t="shared" si="70"/>
        <v>1312.521886</v>
      </c>
      <c r="H227" s="12">
        <f t="shared" si="71"/>
        <v>76309.412</v>
      </c>
      <c r="I227" s="12">
        <f t="shared" si="72"/>
        <v>66770.7355</v>
      </c>
      <c r="J227" s="12">
        <v>68422.0</v>
      </c>
      <c r="K227" s="17">
        <v>88526.0</v>
      </c>
      <c r="L227" s="9"/>
    </row>
    <row r="228">
      <c r="A228" s="5" t="s">
        <v>11</v>
      </c>
      <c r="B228" s="18">
        <v>55.0</v>
      </c>
      <c r="C228" s="7">
        <v>300.0</v>
      </c>
      <c r="D228" s="11">
        <v>26439.0</v>
      </c>
      <c r="E228" s="11">
        <v>75834.0</v>
      </c>
      <c r="F228" s="12">
        <f t="shared" si="69"/>
        <v>106383.2344</v>
      </c>
      <c r="G228" s="12">
        <f t="shared" si="70"/>
        <v>1978.153114</v>
      </c>
      <c r="H228" s="12">
        <f t="shared" si="71"/>
        <v>115008.902</v>
      </c>
      <c r="I228" s="12">
        <f t="shared" si="72"/>
        <v>100632.7893</v>
      </c>
      <c r="J228" s="11">
        <v>102634.0</v>
      </c>
      <c r="K228" s="17">
        <v>133421.0</v>
      </c>
      <c r="L228" s="9"/>
    </row>
    <row r="229">
      <c r="A229" s="5" t="s">
        <v>11</v>
      </c>
      <c r="B229" s="18">
        <v>55.0</v>
      </c>
      <c r="C229" s="7">
        <v>400.0</v>
      </c>
      <c r="D229" s="11">
        <v>35589.0</v>
      </c>
      <c r="E229" s="11">
        <v>102108.0</v>
      </c>
      <c r="F229" s="12">
        <f t="shared" si="69"/>
        <v>142151.558</v>
      </c>
      <c r="G229" s="12">
        <f t="shared" si="70"/>
        <v>2643.250592</v>
      </c>
      <c r="H229" s="12">
        <f t="shared" si="71"/>
        <v>153677.36</v>
      </c>
      <c r="I229" s="12">
        <f t="shared" si="72"/>
        <v>134467.69</v>
      </c>
      <c r="J229" s="11">
        <v>136845.0</v>
      </c>
      <c r="K229" s="17">
        <v>178280.0</v>
      </c>
      <c r="L229" s="9"/>
    </row>
    <row r="230">
      <c r="A230" s="9"/>
      <c r="B230" s="9"/>
      <c r="C230" s="21"/>
      <c r="D230" s="22"/>
      <c r="E230" s="22"/>
      <c r="F230" s="22"/>
      <c r="G230" s="22"/>
      <c r="H230" s="22"/>
      <c r="I230" s="22"/>
      <c r="J230" s="22"/>
      <c r="K230" s="9"/>
      <c r="L230" s="9"/>
    </row>
    <row r="231">
      <c r="A231" s="9"/>
      <c r="B231" s="9"/>
      <c r="C231" s="21"/>
      <c r="D231" s="22"/>
      <c r="E231" s="22"/>
      <c r="F231" s="22"/>
      <c r="G231" s="22"/>
      <c r="H231" s="22"/>
      <c r="I231" s="22"/>
      <c r="J231" s="22"/>
      <c r="K231" s="9"/>
      <c r="L231" s="9"/>
    </row>
    <row r="232">
      <c r="A232" s="9"/>
      <c r="B232" s="9"/>
      <c r="C232" s="21"/>
      <c r="D232" s="22"/>
      <c r="E232" s="22"/>
      <c r="F232" s="22"/>
      <c r="G232" s="22"/>
      <c r="H232" s="22"/>
      <c r="I232" s="22"/>
      <c r="J232" s="22"/>
      <c r="K232" s="9"/>
      <c r="L232" s="9"/>
    </row>
    <row r="233">
      <c r="A233" s="9"/>
      <c r="B233" s="9"/>
      <c r="C233" s="21"/>
      <c r="D233" s="22"/>
      <c r="E233" s="22"/>
      <c r="F233" s="22"/>
      <c r="G233" s="22"/>
      <c r="H233" s="22"/>
      <c r="I233" s="22"/>
      <c r="J233" s="22"/>
      <c r="K233" s="9"/>
      <c r="L233" s="9"/>
    </row>
    <row r="234">
      <c r="A234" s="5" t="s">
        <v>13</v>
      </c>
      <c r="B234" s="6">
        <v>18.0</v>
      </c>
      <c r="C234" s="7">
        <v>50.0</v>
      </c>
      <c r="D234" s="8">
        <v>4259.0</v>
      </c>
      <c r="E234" s="8">
        <v>13043.0</v>
      </c>
      <c r="F234" s="8">
        <v>186225.0</v>
      </c>
      <c r="G234" s="8">
        <v>3497.0</v>
      </c>
      <c r="H234" s="8">
        <v>200061.0</v>
      </c>
      <c r="I234" s="8">
        <v>177348.0</v>
      </c>
      <c r="J234" s="8">
        <v>112867.0</v>
      </c>
      <c r="K234" s="9"/>
      <c r="L234" s="9"/>
    </row>
    <row r="235">
      <c r="A235" s="5" t="s">
        <v>13</v>
      </c>
      <c r="B235" s="6">
        <v>18.0</v>
      </c>
      <c r="C235" s="7">
        <v>100.0</v>
      </c>
      <c r="D235" s="8">
        <v>9671.0</v>
      </c>
      <c r="E235" s="8">
        <v>29062.0</v>
      </c>
      <c r="F235" s="8">
        <v>396217.0</v>
      </c>
      <c r="G235" s="8">
        <v>7465.0</v>
      </c>
      <c r="H235" s="8">
        <v>424375.0</v>
      </c>
      <c r="I235" s="8">
        <v>378304.0</v>
      </c>
      <c r="J235" s="8">
        <v>225734.0</v>
      </c>
      <c r="K235" s="9"/>
      <c r="L235" s="9"/>
    </row>
    <row r="236">
      <c r="A236" s="5" t="s">
        <v>13</v>
      </c>
      <c r="B236" s="6">
        <v>18.0</v>
      </c>
      <c r="C236" s="7">
        <v>150.0</v>
      </c>
      <c r="D236" s="8">
        <v>15722.0</v>
      </c>
      <c r="E236" s="8">
        <v>46406.0</v>
      </c>
      <c r="F236" s="8">
        <v>620259.0</v>
      </c>
      <c r="G236" s="8">
        <v>11717.0</v>
      </c>
      <c r="H236" s="8">
        <v>662688.0</v>
      </c>
      <c r="I236" s="8">
        <v>593472.0</v>
      </c>
      <c r="J236" s="8">
        <v>338601.0</v>
      </c>
      <c r="K236" s="9"/>
      <c r="L236" s="9"/>
    </row>
    <row r="237">
      <c r="A237" s="5" t="s">
        <v>13</v>
      </c>
      <c r="B237" s="6">
        <v>18.0</v>
      </c>
      <c r="C237" s="7">
        <v>200.0</v>
      </c>
      <c r="D237" s="8">
        <v>21348.0</v>
      </c>
      <c r="E237" s="8">
        <v>62867.0</v>
      </c>
      <c r="F237" s="8">
        <v>835032.0</v>
      </c>
      <c r="G237" s="8">
        <v>15783.0</v>
      </c>
      <c r="H237" s="8">
        <v>891707.0</v>
      </c>
      <c r="I237" s="8">
        <v>799308.0</v>
      </c>
      <c r="J237" s="8">
        <v>451468.0</v>
      </c>
      <c r="K237" s="9"/>
      <c r="L237" s="9"/>
    </row>
    <row r="238">
      <c r="A238" s="5" t="s">
        <v>13</v>
      </c>
      <c r="B238" s="6">
        <v>18.0</v>
      </c>
      <c r="C238" s="7">
        <v>300.0</v>
      </c>
      <c r="D238" s="11">
        <v>27547.0</v>
      </c>
      <c r="E238" s="11">
        <v>96089.0</v>
      </c>
      <c r="F238" s="12">
        <f t="shared" ref="F238:F239" si="73">H238*92.5%</f>
        <v>1249415.556</v>
      </c>
      <c r="G238" s="12">
        <f t="shared" ref="G238:G239" si="74">H238*0.0172</f>
        <v>23232.37574</v>
      </c>
      <c r="H238" s="12">
        <f t="shared" ref="H238:H239" si="75">K238*86.2%</f>
        <v>1350719.52</v>
      </c>
      <c r="I238" s="12">
        <f t="shared" ref="I238:I239" si="76">H238*87.5%</f>
        <v>1181879.58</v>
      </c>
      <c r="J238" s="11">
        <v>677201.0</v>
      </c>
      <c r="K238" s="16">
        <v>1566960.0</v>
      </c>
      <c r="L238" s="9"/>
    </row>
    <row r="239">
      <c r="A239" s="5" t="s">
        <v>13</v>
      </c>
      <c r="B239" s="6">
        <v>18.0</v>
      </c>
      <c r="C239" s="7">
        <v>400.0</v>
      </c>
      <c r="D239" s="11">
        <v>37066.0</v>
      </c>
      <c r="E239" s="11">
        <v>129114.0</v>
      </c>
      <c r="F239" s="12">
        <f t="shared" si="73"/>
        <v>1673242.164</v>
      </c>
      <c r="G239" s="12">
        <f t="shared" si="74"/>
        <v>31113.25971</v>
      </c>
      <c r="H239" s="12">
        <f t="shared" si="75"/>
        <v>1808910.448</v>
      </c>
      <c r="I239" s="12">
        <f t="shared" si="76"/>
        <v>1582796.642</v>
      </c>
      <c r="J239" s="11">
        <v>902935.0</v>
      </c>
      <c r="K239" s="16">
        <v>2098504.0</v>
      </c>
      <c r="L239" s="9"/>
    </row>
    <row r="240">
      <c r="A240" s="5" t="s">
        <v>13</v>
      </c>
      <c r="B240" s="6">
        <v>19.0</v>
      </c>
      <c r="C240" s="7">
        <v>50.0</v>
      </c>
      <c r="D240" s="8">
        <v>4289.0</v>
      </c>
      <c r="E240" s="8">
        <v>13047.0</v>
      </c>
      <c r="F240" s="8">
        <v>175990.0</v>
      </c>
      <c r="G240" s="8">
        <v>3301.0</v>
      </c>
      <c r="H240" s="8">
        <v>189252.0</v>
      </c>
      <c r="I240" s="8">
        <v>167462.0</v>
      </c>
      <c r="J240" s="8">
        <v>109171.0</v>
      </c>
      <c r="K240" s="9"/>
      <c r="L240" s="9"/>
    </row>
    <row r="241">
      <c r="A241" s="5" t="s">
        <v>13</v>
      </c>
      <c r="B241" s="6">
        <v>19.0</v>
      </c>
      <c r="C241" s="7">
        <v>100.0</v>
      </c>
      <c r="D241" s="8">
        <v>9732.0</v>
      </c>
      <c r="E241" s="8">
        <v>29070.0</v>
      </c>
      <c r="F241" s="8">
        <v>373989.0</v>
      </c>
      <c r="G241" s="8">
        <v>7037.0</v>
      </c>
      <c r="H241" s="8">
        <v>401024.0</v>
      </c>
      <c r="I241" s="8">
        <v>356733.0</v>
      </c>
      <c r="J241" s="8">
        <v>218341.0</v>
      </c>
      <c r="K241" s="9"/>
      <c r="L241" s="9"/>
    </row>
    <row r="242">
      <c r="A242" s="5" t="s">
        <v>13</v>
      </c>
      <c r="B242" s="6">
        <v>19.0</v>
      </c>
      <c r="C242" s="7">
        <v>150.0</v>
      </c>
      <c r="D242" s="8">
        <v>15863.0</v>
      </c>
      <c r="E242" s="8">
        <v>46550.0</v>
      </c>
      <c r="F242" s="8">
        <v>585911.0</v>
      </c>
      <c r="G242" s="8">
        <v>11054.0</v>
      </c>
      <c r="H242" s="8">
        <v>626738.0</v>
      </c>
      <c r="I242" s="8">
        <v>560038.0</v>
      </c>
      <c r="J242" s="8">
        <v>327511.0</v>
      </c>
      <c r="K242" s="9"/>
      <c r="L242" s="9"/>
    </row>
    <row r="243">
      <c r="A243" s="5" t="s">
        <v>13</v>
      </c>
      <c r="B243" s="6">
        <v>19.0</v>
      </c>
      <c r="C243" s="7">
        <v>200.0</v>
      </c>
      <c r="D243" s="8">
        <v>21535.0</v>
      </c>
      <c r="E243" s="8">
        <v>63058.0</v>
      </c>
      <c r="F243" s="8">
        <v>788677.0</v>
      </c>
      <c r="G243" s="8">
        <v>14888.0</v>
      </c>
      <c r="H243" s="8">
        <v>843206.0</v>
      </c>
      <c r="I243" s="8">
        <v>754175.0</v>
      </c>
      <c r="J243" s="8">
        <v>436682.0</v>
      </c>
      <c r="K243" s="9"/>
      <c r="L243" s="9"/>
    </row>
    <row r="244">
      <c r="A244" s="5" t="s">
        <v>13</v>
      </c>
      <c r="B244" s="6">
        <v>19.0</v>
      </c>
      <c r="C244" s="7">
        <v>300.0</v>
      </c>
      <c r="D244" s="11">
        <v>27815.0</v>
      </c>
      <c r="E244" s="11">
        <v>96378.0</v>
      </c>
      <c r="F244" s="12">
        <f t="shared" ref="F244:F245" si="77">H244*92.5%</f>
        <v>1181434.292</v>
      </c>
      <c r="G244" s="12">
        <f t="shared" ref="G244:G245" si="78">H244*0.0172</f>
        <v>21968.29171</v>
      </c>
      <c r="H244" s="12">
        <f t="shared" ref="H244:H245" si="79">K244*86.2%</f>
        <v>1277226.262</v>
      </c>
      <c r="I244" s="12">
        <f t="shared" ref="I244:I245" si="80">H244*87.5%</f>
        <v>1117572.979</v>
      </c>
      <c r="J244" s="11">
        <v>655022.0</v>
      </c>
      <c r="K244" s="17">
        <v>1481701.0</v>
      </c>
      <c r="L244" s="9"/>
    </row>
    <row r="245">
      <c r="A245" s="5" t="s">
        <v>13</v>
      </c>
      <c r="B245" s="6">
        <v>19.0</v>
      </c>
      <c r="C245" s="7">
        <v>400.0</v>
      </c>
      <c r="D245" s="11">
        <v>37424.0</v>
      </c>
      <c r="E245" s="11">
        <v>129500.0</v>
      </c>
      <c r="F245" s="12">
        <f t="shared" si="77"/>
        <v>1582078.747</v>
      </c>
      <c r="G245" s="12">
        <f t="shared" si="78"/>
        <v>29418.11291</v>
      </c>
      <c r="H245" s="12">
        <f t="shared" si="79"/>
        <v>1710355.402</v>
      </c>
      <c r="I245" s="12">
        <f t="shared" si="80"/>
        <v>1496560.977</v>
      </c>
      <c r="J245" s="11">
        <v>873363.0</v>
      </c>
      <c r="K245" s="17">
        <v>1984171.0</v>
      </c>
      <c r="L245" s="9"/>
    </row>
    <row r="246">
      <c r="A246" s="5" t="s">
        <v>13</v>
      </c>
      <c r="B246" s="6">
        <v>20.0</v>
      </c>
      <c r="C246" s="7">
        <v>50.0</v>
      </c>
      <c r="D246" s="8">
        <v>4317.0</v>
      </c>
      <c r="E246" s="8">
        <v>13050.0</v>
      </c>
      <c r="F246" s="8">
        <v>166382.0</v>
      </c>
      <c r="G246" s="8">
        <v>3118.0</v>
      </c>
      <c r="H246" s="8">
        <v>179096.0</v>
      </c>
      <c r="I246" s="8">
        <v>158187.0</v>
      </c>
      <c r="J246" s="8">
        <v>105709.0</v>
      </c>
      <c r="K246" s="9"/>
      <c r="L246" s="9"/>
    </row>
    <row r="247">
      <c r="A247" s="5" t="s">
        <v>13</v>
      </c>
      <c r="B247" s="6">
        <v>20.0</v>
      </c>
      <c r="C247" s="7">
        <v>100.0</v>
      </c>
      <c r="D247" s="8">
        <v>9788.0</v>
      </c>
      <c r="E247" s="8">
        <v>29076.0</v>
      </c>
      <c r="F247" s="8">
        <v>353133.0</v>
      </c>
      <c r="G247" s="8">
        <v>6637.0</v>
      </c>
      <c r="H247" s="8">
        <v>379100.0</v>
      </c>
      <c r="I247" s="8">
        <v>336504.0</v>
      </c>
      <c r="J247" s="8">
        <v>211417.0</v>
      </c>
      <c r="K247" s="9"/>
      <c r="L247" s="9"/>
    </row>
    <row r="248">
      <c r="A248" s="5" t="s">
        <v>13</v>
      </c>
      <c r="B248" s="6">
        <v>20.0</v>
      </c>
      <c r="C248" s="7">
        <v>150.0</v>
      </c>
      <c r="D248" s="8">
        <v>15992.0</v>
      </c>
      <c r="E248" s="8">
        <v>46720.0</v>
      </c>
      <c r="F248" s="8">
        <v>553568.0</v>
      </c>
      <c r="G248" s="8">
        <v>10430.0</v>
      </c>
      <c r="H248" s="8">
        <v>592897.0</v>
      </c>
      <c r="I248" s="8">
        <v>528550.0</v>
      </c>
      <c r="J248" s="8">
        <v>317125.0</v>
      </c>
      <c r="K248" s="9"/>
      <c r="L248" s="9"/>
    </row>
    <row r="249">
      <c r="A249" s="5" t="s">
        <v>13</v>
      </c>
      <c r="B249" s="6">
        <v>20.0</v>
      </c>
      <c r="C249" s="7">
        <v>200.0</v>
      </c>
      <c r="D249" s="8">
        <v>18342.0</v>
      </c>
      <c r="E249" s="8">
        <v>63286.0</v>
      </c>
      <c r="F249" s="8">
        <v>745034.0</v>
      </c>
      <c r="G249" s="8">
        <v>14045.0</v>
      </c>
      <c r="H249" s="8">
        <v>797554.0</v>
      </c>
      <c r="I249" s="8">
        <v>711674.0</v>
      </c>
      <c r="J249" s="8">
        <v>422833.0</v>
      </c>
      <c r="K249" s="9"/>
      <c r="L249" s="9"/>
    </row>
    <row r="250">
      <c r="A250" s="5" t="s">
        <v>13</v>
      </c>
      <c r="B250" s="6">
        <v>20.0</v>
      </c>
      <c r="C250" s="7">
        <v>300.0</v>
      </c>
      <c r="D250" s="11">
        <v>28062.0</v>
      </c>
      <c r="E250" s="11">
        <v>96722.0</v>
      </c>
      <c r="F250" s="12">
        <f t="shared" ref="F250:F251" si="81">H250*92.5%</f>
        <v>1117476.457</v>
      </c>
      <c r="G250" s="12">
        <f t="shared" ref="G250:G251" si="82">H250*0.0172</f>
        <v>20779.02168</v>
      </c>
      <c r="H250" s="12">
        <f t="shared" ref="H250:H251" si="83">K250*86.2%</f>
        <v>1208082.656</v>
      </c>
      <c r="I250" s="12">
        <f t="shared" ref="I250:I251" si="84">H250*87.5%</f>
        <v>1057072.324</v>
      </c>
      <c r="J250" s="11">
        <v>634250.0</v>
      </c>
      <c r="K250" s="16">
        <v>1401488.0</v>
      </c>
      <c r="L250" s="9"/>
    </row>
    <row r="251">
      <c r="A251" s="5" t="s">
        <v>13</v>
      </c>
      <c r="B251" s="6">
        <v>20.0</v>
      </c>
      <c r="C251" s="7">
        <v>400.0</v>
      </c>
      <c r="D251" s="11">
        <v>37753.0</v>
      </c>
      <c r="E251" s="11">
        <v>129958.0</v>
      </c>
      <c r="F251" s="12">
        <f t="shared" si="81"/>
        <v>1496313.389</v>
      </c>
      <c r="G251" s="12">
        <f t="shared" si="82"/>
        <v>27823.34085</v>
      </c>
      <c r="H251" s="12">
        <f t="shared" si="83"/>
        <v>1617636.096</v>
      </c>
      <c r="I251" s="12">
        <f t="shared" si="84"/>
        <v>1415431.584</v>
      </c>
      <c r="J251" s="11">
        <v>845666.0</v>
      </c>
      <c r="K251" s="16">
        <v>1876608.0</v>
      </c>
      <c r="L251" s="9"/>
    </row>
    <row r="252">
      <c r="A252" s="5" t="s">
        <v>13</v>
      </c>
      <c r="B252" s="6">
        <v>21.0</v>
      </c>
      <c r="C252" s="7">
        <v>50.0</v>
      </c>
      <c r="D252" s="8">
        <v>4391.0</v>
      </c>
      <c r="E252" s="8">
        <v>14466.0</v>
      </c>
      <c r="F252" s="8">
        <v>157717.0</v>
      </c>
      <c r="G252" s="8">
        <v>2953.0</v>
      </c>
      <c r="H252" s="8">
        <v>169883.0</v>
      </c>
      <c r="I252" s="8">
        <v>149864.0</v>
      </c>
      <c r="J252" s="8">
        <v>101833.0</v>
      </c>
      <c r="K252" s="9"/>
      <c r="L252" s="9"/>
    </row>
    <row r="253">
      <c r="A253" s="5" t="s">
        <v>13</v>
      </c>
      <c r="B253" s="6">
        <v>21.0</v>
      </c>
      <c r="C253" s="7">
        <v>100.0</v>
      </c>
      <c r="D253" s="8">
        <v>9936.0</v>
      </c>
      <c r="E253" s="8">
        <v>29327.0</v>
      </c>
      <c r="F253" s="8">
        <v>334300.0</v>
      </c>
      <c r="G253" s="8">
        <v>6277.0</v>
      </c>
      <c r="H253" s="8">
        <v>359180.0</v>
      </c>
      <c r="I253" s="8">
        <v>318331.0</v>
      </c>
      <c r="J253" s="8">
        <v>203666.0</v>
      </c>
      <c r="K253" s="9"/>
      <c r="L253" s="9"/>
    </row>
    <row r="254">
      <c r="A254" s="5" t="s">
        <v>13</v>
      </c>
      <c r="B254" s="6">
        <v>21.0</v>
      </c>
      <c r="C254" s="7">
        <v>150.0</v>
      </c>
      <c r="D254" s="8">
        <v>16241.0</v>
      </c>
      <c r="E254" s="8">
        <v>47127.0</v>
      </c>
      <c r="F254" s="8">
        <v>523649.0</v>
      </c>
      <c r="G254" s="8">
        <v>9857.0</v>
      </c>
      <c r="H254" s="8">
        <v>561330.0</v>
      </c>
      <c r="I254" s="10">
        <v>499619.0</v>
      </c>
      <c r="J254" s="8">
        <v>305499.0</v>
      </c>
      <c r="K254" s="9"/>
      <c r="L254" s="9"/>
    </row>
    <row r="255">
      <c r="A255" s="5" t="s">
        <v>13</v>
      </c>
      <c r="B255" s="6">
        <v>21.0</v>
      </c>
      <c r="C255" s="7">
        <v>200.0</v>
      </c>
      <c r="D255" s="8">
        <v>22040.0</v>
      </c>
      <c r="E255" s="8">
        <v>63828.0</v>
      </c>
      <c r="F255" s="8">
        <v>704557.0</v>
      </c>
      <c r="G255" s="8">
        <v>13268.0</v>
      </c>
      <c r="H255" s="8">
        <v>754935.0</v>
      </c>
      <c r="I255" s="8">
        <v>672469.0</v>
      </c>
      <c r="J255" s="8">
        <v>407332.0</v>
      </c>
      <c r="K255" s="9"/>
      <c r="L255" s="9"/>
    </row>
    <row r="256">
      <c r="A256" s="5" t="s">
        <v>13</v>
      </c>
      <c r="B256" s="6">
        <v>21.0</v>
      </c>
      <c r="C256" s="7">
        <v>300.0</v>
      </c>
      <c r="D256" s="11">
        <v>28532.0</v>
      </c>
      <c r="E256" s="11">
        <v>97539.0</v>
      </c>
      <c r="F256" s="12">
        <f t="shared" ref="F256:F257" si="85">H256*92.5%</f>
        <v>1057682.383</v>
      </c>
      <c r="G256" s="12">
        <f t="shared" ref="G256:G257" si="86">H256*0.0172</f>
        <v>19667.17512</v>
      </c>
      <c r="H256" s="12">
        <f t="shared" ref="H256:H257" si="87">K256*86.2%</f>
        <v>1143440.414</v>
      </c>
      <c r="I256" s="12">
        <f t="shared" ref="I256:I257" si="88">H256*87.5%</f>
        <v>1000510.362</v>
      </c>
      <c r="J256" s="11">
        <v>610998.0</v>
      </c>
      <c r="K256" s="17">
        <v>1326497.0</v>
      </c>
      <c r="L256" s="9"/>
    </row>
    <row r="257">
      <c r="A257" s="5" t="s">
        <v>13</v>
      </c>
      <c r="B257" s="6">
        <v>21.0</v>
      </c>
      <c r="C257" s="7">
        <v>400.0</v>
      </c>
      <c r="D257" s="11">
        <v>38380.0</v>
      </c>
      <c r="E257" s="11">
        <v>131048.0</v>
      </c>
      <c r="F257" s="12">
        <f t="shared" si="85"/>
        <v>1416134.265</v>
      </c>
      <c r="G257" s="12">
        <f t="shared" si="86"/>
        <v>26332.44255</v>
      </c>
      <c r="H257" s="12">
        <f t="shared" si="87"/>
        <v>1530955.962</v>
      </c>
      <c r="I257" s="12">
        <f t="shared" si="88"/>
        <v>1339586.467</v>
      </c>
      <c r="J257" s="11">
        <v>814664.0</v>
      </c>
      <c r="K257" s="17">
        <v>1776051.0</v>
      </c>
      <c r="L257" s="9"/>
    </row>
    <row r="258">
      <c r="A258" s="5" t="s">
        <v>13</v>
      </c>
      <c r="B258" s="6">
        <v>22.0</v>
      </c>
      <c r="C258" s="7">
        <v>50.0</v>
      </c>
      <c r="D258" s="8">
        <v>4455.0</v>
      </c>
      <c r="E258" s="8">
        <v>13282.0</v>
      </c>
      <c r="F258" s="8">
        <v>149740.0</v>
      </c>
      <c r="G258" s="8">
        <v>2802.0</v>
      </c>
      <c r="H258" s="8">
        <v>161393.0</v>
      </c>
      <c r="I258" s="8">
        <v>142209.0</v>
      </c>
      <c r="J258" s="8">
        <v>98426.0</v>
      </c>
      <c r="K258" s="9"/>
      <c r="L258" s="9"/>
    </row>
    <row r="259">
      <c r="A259" s="5" t="s">
        <v>13</v>
      </c>
      <c r="B259" s="6">
        <v>22.0</v>
      </c>
      <c r="C259" s="7">
        <v>100.0</v>
      </c>
      <c r="D259" s="8">
        <v>10065.0</v>
      </c>
      <c r="E259" s="8">
        <v>29540.0</v>
      </c>
      <c r="F259" s="8">
        <v>316954.0</v>
      </c>
      <c r="G259" s="8">
        <v>5946.0</v>
      </c>
      <c r="H259" s="8">
        <v>340812.0</v>
      </c>
      <c r="I259" s="8">
        <v>301612.0</v>
      </c>
      <c r="J259" s="8">
        <v>196851.0</v>
      </c>
      <c r="K259" s="9"/>
      <c r="L259" s="9"/>
    </row>
    <row r="260">
      <c r="A260" s="5" t="s">
        <v>13</v>
      </c>
      <c r="B260" s="6">
        <v>22.0</v>
      </c>
      <c r="C260" s="7">
        <v>150.0</v>
      </c>
      <c r="D260" s="8">
        <v>16455.0</v>
      </c>
      <c r="E260" s="8">
        <v>47468.0</v>
      </c>
      <c r="F260" s="8">
        <v>495967.0</v>
      </c>
      <c r="G260" s="8">
        <v>9327.0</v>
      </c>
      <c r="H260" s="8">
        <v>532142.0</v>
      </c>
      <c r="I260" s="8">
        <v>472836.0</v>
      </c>
      <c r="J260" s="8">
        <v>295276.0</v>
      </c>
      <c r="K260" s="9"/>
      <c r="L260" s="9"/>
    </row>
    <row r="261">
      <c r="A261" s="5" t="s">
        <v>13</v>
      </c>
      <c r="B261" s="6">
        <v>22.0</v>
      </c>
      <c r="C261" s="7">
        <v>200.0</v>
      </c>
      <c r="D261" s="8">
        <v>22325.0</v>
      </c>
      <c r="E261" s="8">
        <v>64283.0</v>
      </c>
      <c r="F261" s="8">
        <v>667202.0</v>
      </c>
      <c r="G261" s="8">
        <v>12552.0</v>
      </c>
      <c r="H261" s="8">
        <v>715560.0</v>
      </c>
      <c r="I261" s="8">
        <v>636319.0</v>
      </c>
      <c r="J261" s="8">
        <v>393701.0</v>
      </c>
      <c r="K261" s="9"/>
      <c r="L261" s="9"/>
    </row>
    <row r="262">
      <c r="A262" s="5" t="s">
        <v>13</v>
      </c>
      <c r="B262" s="6">
        <v>22.0</v>
      </c>
      <c r="C262" s="7">
        <v>300.0</v>
      </c>
      <c r="D262" s="11">
        <v>28936.0</v>
      </c>
      <c r="E262" s="11">
        <v>98225.0</v>
      </c>
      <c r="F262" s="12">
        <f t="shared" ref="F262:F263" si="89">H262*92.5%</f>
        <v>1002376.592</v>
      </c>
      <c r="G262" s="12">
        <f t="shared" ref="G262:G263" si="90">H262*0.0172</f>
        <v>18638.78636</v>
      </c>
      <c r="H262" s="12">
        <f t="shared" ref="H262:H263" si="91">K262*86.2%</f>
        <v>1083650.37</v>
      </c>
      <c r="I262" s="12">
        <f t="shared" ref="I262:I263" si="92">H262*87.5%</f>
        <v>948194.0738</v>
      </c>
      <c r="J262" s="11">
        <v>590552.0</v>
      </c>
      <c r="K262" s="23">
        <v>1257135.0</v>
      </c>
      <c r="L262" s="9"/>
    </row>
    <row r="263">
      <c r="A263" s="5" t="s">
        <v>13</v>
      </c>
      <c r="B263" s="6">
        <v>22.0</v>
      </c>
      <c r="C263" s="7">
        <v>400.0</v>
      </c>
      <c r="D263" s="11">
        <v>38919.0</v>
      </c>
      <c r="E263" s="11">
        <v>131962.0</v>
      </c>
      <c r="F263" s="12">
        <f t="shared" si="89"/>
        <v>1341971.147</v>
      </c>
      <c r="G263" s="12">
        <f t="shared" si="90"/>
        <v>24953.40943</v>
      </c>
      <c r="H263" s="12">
        <f t="shared" si="91"/>
        <v>1450779.618</v>
      </c>
      <c r="I263" s="12">
        <f t="shared" si="92"/>
        <v>1269432.166</v>
      </c>
      <c r="J263" s="11">
        <v>787402.0</v>
      </c>
      <c r="K263" s="16">
        <v>1683039.0</v>
      </c>
      <c r="L263" s="9"/>
    </row>
    <row r="264">
      <c r="A264" s="5" t="s">
        <v>13</v>
      </c>
      <c r="B264" s="6">
        <v>23.0</v>
      </c>
      <c r="C264" s="7">
        <v>50.0</v>
      </c>
      <c r="D264" s="8">
        <v>4520.0</v>
      </c>
      <c r="E264" s="8">
        <v>13391.0</v>
      </c>
      <c r="F264" s="8">
        <v>142218.0</v>
      </c>
      <c r="G264" s="8">
        <v>2660.0</v>
      </c>
      <c r="H264" s="8">
        <v>153380.0</v>
      </c>
      <c r="I264" s="8">
        <v>134997.0</v>
      </c>
      <c r="J264" s="8">
        <v>95057.0</v>
      </c>
      <c r="K264" s="9"/>
      <c r="L264" s="9"/>
    </row>
    <row r="265">
      <c r="A265" s="5" t="s">
        <v>13</v>
      </c>
      <c r="B265" s="6">
        <v>23.0</v>
      </c>
      <c r="C265" s="7">
        <v>100.0</v>
      </c>
      <c r="D265" s="8">
        <v>10193.0</v>
      </c>
      <c r="E265" s="8">
        <v>29759.0</v>
      </c>
      <c r="F265" s="8">
        <v>300630.0</v>
      </c>
      <c r="G265" s="8">
        <v>5636.0</v>
      </c>
      <c r="H265" s="8">
        <v>323498.0</v>
      </c>
      <c r="I265" s="8">
        <v>285899.0</v>
      </c>
      <c r="J265" s="8">
        <v>190114.0</v>
      </c>
      <c r="K265" s="9"/>
      <c r="L265" s="9"/>
    </row>
    <row r="266">
      <c r="A266" s="5" t="s">
        <v>13</v>
      </c>
      <c r="B266" s="6">
        <v>23.0</v>
      </c>
      <c r="C266" s="7">
        <v>150.0</v>
      </c>
      <c r="D266" s="8">
        <v>16672.0</v>
      </c>
      <c r="E266" s="8">
        <v>47823.0</v>
      </c>
      <c r="F266" s="8">
        <v>469927.0</v>
      </c>
      <c r="G266" s="8">
        <v>8828.0</v>
      </c>
      <c r="H266" s="8">
        <v>504649.0</v>
      </c>
      <c r="I266" s="8">
        <v>447671.0</v>
      </c>
      <c r="J266" s="8">
        <v>285171.0</v>
      </c>
      <c r="K266" s="9"/>
      <c r="L266" s="9"/>
    </row>
    <row r="267">
      <c r="A267" s="5" t="s">
        <v>13</v>
      </c>
      <c r="B267" s="6">
        <v>23.0</v>
      </c>
      <c r="C267" s="7">
        <v>200.0</v>
      </c>
      <c r="D267" s="8">
        <v>22615.0</v>
      </c>
      <c r="E267" s="8">
        <v>64756.0</v>
      </c>
      <c r="F267" s="8">
        <v>632069.0</v>
      </c>
      <c r="G267" s="8">
        <v>11880.0</v>
      </c>
      <c r="H267" s="8">
        <v>678477.0</v>
      </c>
      <c r="I267" s="8">
        <v>602356.0</v>
      </c>
      <c r="J267" s="8">
        <v>380228.0</v>
      </c>
      <c r="K267" s="9"/>
      <c r="L267" s="9"/>
    </row>
    <row r="268">
      <c r="A268" s="5" t="s">
        <v>13</v>
      </c>
      <c r="B268" s="6">
        <v>23.0</v>
      </c>
      <c r="C268" s="7">
        <v>300.0</v>
      </c>
      <c r="D268" s="11">
        <v>29346.0</v>
      </c>
      <c r="E268" s="11">
        <v>98937.0</v>
      </c>
      <c r="F268" s="12">
        <f t="shared" ref="F268:F269" si="93">H268*92.5%</f>
        <v>950293.6903</v>
      </c>
      <c r="G268" s="12">
        <f t="shared" ref="G268:G269" si="94">H268*0.0172</f>
        <v>17670.32592</v>
      </c>
      <c r="H268" s="12">
        <f t="shared" ref="H268:H269" si="95">K268*86.2%</f>
        <v>1027344.53</v>
      </c>
      <c r="I268" s="12">
        <f t="shared" ref="I268:I269" si="96">H268*87.5%</f>
        <v>898926.4638</v>
      </c>
      <c r="J268" s="11">
        <v>570342.0</v>
      </c>
      <c r="K268" s="17">
        <v>1191815.0</v>
      </c>
      <c r="L268" s="9"/>
    </row>
    <row r="269">
      <c r="A269" s="5" t="s">
        <v>13</v>
      </c>
      <c r="B269" s="6">
        <v>23.0</v>
      </c>
      <c r="C269" s="7">
        <v>400.0</v>
      </c>
      <c r="D269" s="11">
        <v>39465.0</v>
      </c>
      <c r="E269" s="11">
        <v>132912.0</v>
      </c>
      <c r="F269" s="12">
        <f t="shared" si="93"/>
        <v>1272135.247</v>
      </c>
      <c r="G269" s="12">
        <f t="shared" si="94"/>
        <v>23654.83919</v>
      </c>
      <c r="H269" s="12">
        <f t="shared" si="95"/>
        <v>1375281.348</v>
      </c>
      <c r="I269" s="12">
        <f t="shared" si="96"/>
        <v>1203371.18</v>
      </c>
      <c r="J269" s="11">
        <v>760457.0</v>
      </c>
      <c r="K269" s="17">
        <v>1595454.0</v>
      </c>
      <c r="L269" s="9"/>
    </row>
    <row r="270">
      <c r="A270" s="5" t="s">
        <v>13</v>
      </c>
      <c r="B270" s="6">
        <v>24.0</v>
      </c>
      <c r="C270" s="7">
        <v>50.0</v>
      </c>
      <c r="D270" s="15">
        <v>4576.0</v>
      </c>
      <c r="E270" s="15">
        <v>13484.0</v>
      </c>
      <c r="F270" s="8">
        <v>135287.0</v>
      </c>
      <c r="G270" s="8">
        <v>2528.0</v>
      </c>
      <c r="H270" s="8">
        <v>145997.0</v>
      </c>
      <c r="I270" s="8">
        <v>128354.0</v>
      </c>
      <c r="J270" s="15">
        <v>92081.0</v>
      </c>
      <c r="K270" s="9"/>
      <c r="L270" s="9"/>
    </row>
    <row r="271">
      <c r="A271" s="5" t="s">
        <v>13</v>
      </c>
      <c r="B271" s="6">
        <v>24.0</v>
      </c>
      <c r="C271" s="7">
        <v>100.0</v>
      </c>
      <c r="D271" s="15">
        <v>10306.0</v>
      </c>
      <c r="E271" s="15">
        <v>29944.0</v>
      </c>
      <c r="F271" s="8">
        <v>285551.0</v>
      </c>
      <c r="G271" s="8">
        <v>5348.0</v>
      </c>
      <c r="H271" s="8">
        <v>307526.0</v>
      </c>
      <c r="I271" s="8">
        <v>271369.0</v>
      </c>
      <c r="J271" s="15">
        <v>184162.0</v>
      </c>
      <c r="K271" s="9"/>
      <c r="L271" s="9"/>
    </row>
    <row r="272">
      <c r="A272" s="5" t="s">
        <v>13</v>
      </c>
      <c r="B272" s="6">
        <v>24.0</v>
      </c>
      <c r="C272" s="7">
        <v>150.0</v>
      </c>
      <c r="D272" s="15">
        <v>16864.0</v>
      </c>
      <c r="E272" s="15">
        <v>48129.0</v>
      </c>
      <c r="F272" s="8">
        <v>445896.0</v>
      </c>
      <c r="G272" s="8">
        <v>8369.0</v>
      </c>
      <c r="H272" s="8">
        <v>479279.0</v>
      </c>
      <c r="I272" s="8">
        <v>424447.0</v>
      </c>
      <c r="J272" s="15">
        <v>276243.0</v>
      </c>
      <c r="K272" s="9"/>
      <c r="L272" s="9"/>
    </row>
    <row r="273">
      <c r="A273" s="5" t="s">
        <v>13</v>
      </c>
      <c r="B273" s="6">
        <v>24.0</v>
      </c>
      <c r="C273" s="7">
        <v>200.0</v>
      </c>
      <c r="D273" s="15">
        <v>22870.0</v>
      </c>
      <c r="E273" s="15">
        <v>65164.0</v>
      </c>
      <c r="F273" s="8">
        <v>599579.0</v>
      </c>
      <c r="G273" s="8">
        <v>11257.0</v>
      </c>
      <c r="H273" s="8">
        <v>644234.0</v>
      </c>
      <c r="I273" s="8">
        <v>570913.0</v>
      </c>
      <c r="J273" s="8">
        <v>368324.0</v>
      </c>
      <c r="K273" s="9"/>
      <c r="L273" s="9"/>
    </row>
    <row r="274">
      <c r="A274" s="5" t="s">
        <v>13</v>
      </c>
      <c r="B274" s="6">
        <v>24.0</v>
      </c>
      <c r="C274" s="7">
        <v>300.0</v>
      </c>
      <c r="D274" s="11">
        <v>29708.0</v>
      </c>
      <c r="E274" s="11">
        <v>99553.0</v>
      </c>
      <c r="F274" s="12">
        <f t="shared" ref="F274:F275" si="97">H274*92.5%</f>
        <v>902211.0932</v>
      </c>
      <c r="G274" s="12">
        <f t="shared" ref="G274:G275" si="98">H274*0.0172</f>
        <v>16776.24952</v>
      </c>
      <c r="H274" s="12">
        <f t="shared" ref="H274:H275" si="99">K274*86.2%</f>
        <v>975363.344</v>
      </c>
      <c r="I274" s="12">
        <f t="shared" ref="I274:I275" si="100">H274*87.5%</f>
        <v>853442.926</v>
      </c>
      <c r="J274" s="11">
        <v>552486.0</v>
      </c>
      <c r="K274" s="16">
        <v>1131512.0</v>
      </c>
      <c r="L274" s="9"/>
    </row>
    <row r="275">
      <c r="A275" s="5" t="s">
        <v>13</v>
      </c>
      <c r="B275" s="6">
        <v>24.0</v>
      </c>
      <c r="C275" s="7">
        <v>400.0</v>
      </c>
      <c r="D275" s="11">
        <v>39948.0</v>
      </c>
      <c r="E275" s="11">
        <v>133733.0</v>
      </c>
      <c r="F275" s="12">
        <f t="shared" si="97"/>
        <v>1207658.337</v>
      </c>
      <c r="G275" s="12">
        <f t="shared" si="98"/>
        <v>22455.91718</v>
      </c>
      <c r="H275" s="12">
        <f t="shared" si="99"/>
        <v>1305576.58</v>
      </c>
      <c r="I275" s="12">
        <f t="shared" si="100"/>
        <v>1142379.508</v>
      </c>
      <c r="J275" s="11">
        <v>736649.0</v>
      </c>
      <c r="K275" s="16">
        <v>1514590.0</v>
      </c>
      <c r="L275" s="9"/>
    </row>
    <row r="276">
      <c r="A276" s="5" t="s">
        <v>13</v>
      </c>
      <c r="B276" s="6">
        <v>25.0</v>
      </c>
      <c r="C276" s="7">
        <v>50.0</v>
      </c>
      <c r="D276" s="15">
        <v>4627.0</v>
      </c>
      <c r="E276" s="15">
        <v>13568.0</v>
      </c>
      <c r="F276" s="10">
        <v>128823.0</v>
      </c>
      <c r="G276" s="8">
        <v>2406.0</v>
      </c>
      <c r="H276" s="8">
        <v>139100.0</v>
      </c>
      <c r="I276" s="8">
        <v>122166.0</v>
      </c>
      <c r="J276" s="15">
        <v>89286.0</v>
      </c>
      <c r="K276" s="9"/>
      <c r="L276" s="9"/>
    </row>
    <row r="277">
      <c r="A277" s="5" t="s">
        <v>13</v>
      </c>
      <c r="B277" s="6">
        <v>25.0</v>
      </c>
      <c r="C277" s="7">
        <v>100.0</v>
      </c>
      <c r="D277" s="15">
        <v>10408.0</v>
      </c>
      <c r="E277" s="15">
        <v>30113.0</v>
      </c>
      <c r="F277" s="8">
        <v>271521.0</v>
      </c>
      <c r="G277" s="8">
        <v>5082.0</v>
      </c>
      <c r="H277" s="8">
        <v>292619.0</v>
      </c>
      <c r="I277" s="8">
        <v>257889.0</v>
      </c>
      <c r="J277" s="15">
        <v>178572.0</v>
      </c>
      <c r="K277" s="9"/>
      <c r="L277" s="9"/>
    </row>
    <row r="278">
      <c r="A278" s="5" t="s">
        <v>13</v>
      </c>
      <c r="B278" s="6">
        <v>25.0</v>
      </c>
      <c r="C278" s="7">
        <v>150.0</v>
      </c>
      <c r="D278" s="15">
        <v>17039.0</v>
      </c>
      <c r="E278" s="15">
        <v>17039.0</v>
      </c>
      <c r="F278" s="8">
        <v>423498.0</v>
      </c>
      <c r="G278" s="8">
        <v>7941.0</v>
      </c>
      <c r="H278" s="8">
        <v>455580.0</v>
      </c>
      <c r="I278" s="8">
        <v>402844.0</v>
      </c>
      <c r="J278" s="15">
        <v>267857.0</v>
      </c>
      <c r="K278" s="9"/>
      <c r="L278" s="9"/>
    </row>
    <row r="279">
      <c r="A279" s="5" t="s">
        <v>13</v>
      </c>
      <c r="B279" s="6">
        <v>25.0</v>
      </c>
      <c r="C279" s="7">
        <v>200.0</v>
      </c>
      <c r="D279" s="15">
        <v>23104.0</v>
      </c>
      <c r="E279" s="15">
        <v>65536.0</v>
      </c>
      <c r="F279" s="8">
        <v>569353.0</v>
      </c>
      <c r="G279" s="8">
        <v>10680.0</v>
      </c>
      <c r="H279" s="8">
        <v>612264.0</v>
      </c>
      <c r="I279" s="8">
        <v>541751.0</v>
      </c>
      <c r="J279" s="15">
        <v>357143.0</v>
      </c>
      <c r="K279" s="9"/>
      <c r="L279" s="9"/>
    </row>
    <row r="280">
      <c r="A280" s="5" t="s">
        <v>13</v>
      </c>
      <c r="B280" s="6">
        <v>25.0</v>
      </c>
      <c r="C280" s="7">
        <v>300.0</v>
      </c>
      <c r="D280" s="11">
        <v>30039.0</v>
      </c>
      <c r="E280" s="11">
        <v>100114.0</v>
      </c>
      <c r="F280" s="12">
        <f t="shared" ref="F280:F281" si="101">H280*92.5%</f>
        <v>857264.4737</v>
      </c>
      <c r="G280" s="12">
        <f t="shared" ref="G280:G281" si="102">H280*0.0172</f>
        <v>15940.48535</v>
      </c>
      <c r="H280" s="12">
        <f t="shared" ref="H280:H281" si="103">K280*86.2%</f>
        <v>926772.404</v>
      </c>
      <c r="I280" s="12">
        <f t="shared" ref="I280:I281" si="104">H280*87.5%</f>
        <v>810925.8535</v>
      </c>
      <c r="J280" s="11">
        <v>535715.0</v>
      </c>
      <c r="K280" s="17">
        <v>1075142.0</v>
      </c>
      <c r="L280" s="9"/>
    </row>
    <row r="281">
      <c r="A281" s="5" t="s">
        <v>13</v>
      </c>
      <c r="B281" s="6">
        <v>25.0</v>
      </c>
      <c r="C281" s="7">
        <v>400.0</v>
      </c>
      <c r="D281" s="11">
        <v>40390.0</v>
      </c>
      <c r="E281" s="11">
        <v>134481.0</v>
      </c>
      <c r="F281" s="12">
        <f t="shared" si="101"/>
        <v>1147387.447</v>
      </c>
      <c r="G281" s="12">
        <f t="shared" si="102"/>
        <v>21335.20443</v>
      </c>
      <c r="H281" s="12">
        <f t="shared" si="103"/>
        <v>1240418.862</v>
      </c>
      <c r="I281" s="12">
        <f t="shared" si="104"/>
        <v>1085366.504</v>
      </c>
      <c r="J281" s="11">
        <v>714286.0</v>
      </c>
      <c r="K281" s="17">
        <v>1439001.0</v>
      </c>
      <c r="L281" s="9"/>
    </row>
    <row r="282">
      <c r="A282" s="5" t="s">
        <v>13</v>
      </c>
      <c r="B282" s="6">
        <v>26.0</v>
      </c>
      <c r="C282" s="7">
        <v>50.0</v>
      </c>
      <c r="D282" s="15">
        <v>4649.0</v>
      </c>
      <c r="E282" s="15">
        <v>13594.0</v>
      </c>
      <c r="F282" s="8">
        <v>121346.0</v>
      </c>
      <c r="G282" s="8">
        <v>2265.0</v>
      </c>
      <c r="H282" s="8">
        <v>131088.0</v>
      </c>
      <c r="I282" s="8">
        <v>115033.0</v>
      </c>
      <c r="J282" s="15">
        <v>85324.0</v>
      </c>
      <c r="K282" s="9"/>
      <c r="L282" s="9"/>
    </row>
    <row r="283">
      <c r="A283" s="5" t="s">
        <v>13</v>
      </c>
      <c r="B283" s="6">
        <v>26.0</v>
      </c>
      <c r="C283" s="7">
        <v>100.0</v>
      </c>
      <c r="D283" s="15">
        <v>10451.0</v>
      </c>
      <c r="E283" s="15">
        <v>30164.0</v>
      </c>
      <c r="F283" s="8">
        <v>255552.0</v>
      </c>
      <c r="G283" s="8">
        <v>4780.0</v>
      </c>
      <c r="H283" s="8">
        <v>275561.0</v>
      </c>
      <c r="I283" s="8">
        <v>242611.0</v>
      </c>
      <c r="J283" s="15">
        <v>170649.0</v>
      </c>
      <c r="K283" s="9"/>
      <c r="L283" s="9"/>
    </row>
    <row r="284">
      <c r="A284" s="5" t="s">
        <v>13</v>
      </c>
      <c r="B284" s="6">
        <v>26.0</v>
      </c>
      <c r="C284" s="7">
        <v>150.0</v>
      </c>
      <c r="D284" s="15">
        <v>17063.0</v>
      </c>
      <c r="E284" s="15">
        <v>48425.0</v>
      </c>
      <c r="F284" s="8">
        <v>398191.0</v>
      </c>
      <c r="G284" s="8">
        <v>7461.0</v>
      </c>
      <c r="H284" s="8">
        <v>428641.0</v>
      </c>
      <c r="I284" s="8">
        <v>378557.0</v>
      </c>
      <c r="J284" s="15">
        <v>255973.0</v>
      </c>
      <c r="K284" s="9"/>
      <c r="L284" s="9"/>
    </row>
    <row r="285">
      <c r="A285" s="5" t="s">
        <v>13</v>
      </c>
      <c r="B285" s="6">
        <v>26.0</v>
      </c>
      <c r="C285" s="7">
        <v>200.0</v>
      </c>
      <c r="D285" s="15">
        <v>23135.0</v>
      </c>
      <c r="E285" s="15">
        <v>65558.0</v>
      </c>
      <c r="F285" s="8">
        <v>535278.0</v>
      </c>
      <c r="G285" s="8">
        <v>10034.0</v>
      </c>
      <c r="H285" s="8">
        <v>576001.0</v>
      </c>
      <c r="I285" s="8">
        <v>509042.0</v>
      </c>
      <c r="J285" s="15">
        <v>341297.0</v>
      </c>
      <c r="K285" s="9"/>
      <c r="L285" s="9"/>
    </row>
    <row r="286">
      <c r="A286" s="5" t="s">
        <v>13</v>
      </c>
      <c r="B286" s="6">
        <v>26.0</v>
      </c>
      <c r="C286" s="7">
        <v>300.0</v>
      </c>
      <c r="D286" s="11">
        <v>30096.0</v>
      </c>
      <c r="E286" s="11">
        <v>100147.0</v>
      </c>
      <c r="F286" s="12">
        <f t="shared" ref="F286:F287" si="105">H286*92.5%</f>
        <v>806381.5835</v>
      </c>
      <c r="G286" s="12">
        <f t="shared" ref="G286:G287" si="106">H286*0.0172</f>
        <v>14994.33863</v>
      </c>
      <c r="H286" s="12">
        <f t="shared" ref="H286:H287" si="107">K286*86.2%</f>
        <v>871763.874</v>
      </c>
      <c r="I286" s="12">
        <f t="shared" ref="I286:I287" si="108">H286*87.5%</f>
        <v>762793.3898</v>
      </c>
      <c r="J286" s="11">
        <v>511946.0</v>
      </c>
      <c r="K286" s="16">
        <v>1011327.0</v>
      </c>
      <c r="L286" s="9"/>
    </row>
    <row r="287">
      <c r="A287" s="5" t="s">
        <v>13</v>
      </c>
      <c r="B287" s="6">
        <v>26.0</v>
      </c>
      <c r="C287" s="7">
        <v>400.0</v>
      </c>
      <c r="D287" s="11">
        <v>40465.0</v>
      </c>
      <c r="E287" s="11">
        <v>134526.0</v>
      </c>
      <c r="F287" s="12">
        <f t="shared" si="105"/>
        <v>1079225.185</v>
      </c>
      <c r="G287" s="12">
        <f t="shared" si="106"/>
        <v>20067.7548</v>
      </c>
      <c r="H287" s="12">
        <f t="shared" si="107"/>
        <v>1166729.93</v>
      </c>
      <c r="I287" s="12">
        <f t="shared" si="108"/>
        <v>1020888.689</v>
      </c>
      <c r="J287" s="11">
        <v>682594.0</v>
      </c>
      <c r="K287" s="16">
        <v>1353515.0</v>
      </c>
      <c r="L287" s="9"/>
    </row>
    <row r="288">
      <c r="A288" s="5" t="s">
        <v>13</v>
      </c>
      <c r="B288" s="6">
        <v>27.0</v>
      </c>
      <c r="C288" s="7">
        <v>50.0</v>
      </c>
      <c r="D288" s="15">
        <v>4662.0</v>
      </c>
      <c r="E288" s="15">
        <v>13604.0</v>
      </c>
      <c r="F288" s="8">
        <v>114563.0</v>
      </c>
      <c r="G288" s="8">
        <v>2138.0</v>
      </c>
      <c r="H288" s="8">
        <v>123814.0</v>
      </c>
      <c r="I288" s="8">
        <v>108568.0</v>
      </c>
      <c r="J288" s="15">
        <v>81833.0</v>
      </c>
      <c r="K288" s="9"/>
      <c r="L288" s="9"/>
    </row>
    <row r="289">
      <c r="A289" s="5" t="s">
        <v>13</v>
      </c>
      <c r="B289" s="6">
        <v>27.0</v>
      </c>
      <c r="C289" s="7">
        <v>100.0</v>
      </c>
      <c r="D289" s="15">
        <v>10478.0</v>
      </c>
      <c r="E289" s="8">
        <v>30184.0</v>
      </c>
      <c r="F289" s="8">
        <v>241015.0</v>
      </c>
      <c r="G289" s="8">
        <v>4505.0</v>
      </c>
      <c r="H289" s="8">
        <v>260043.0</v>
      </c>
      <c r="I289" s="8">
        <v>228697.0</v>
      </c>
      <c r="J289" s="15">
        <v>163666.0</v>
      </c>
      <c r="K289" s="9"/>
      <c r="L289" s="9"/>
    </row>
    <row r="290">
      <c r="A290" s="5" t="s">
        <v>13</v>
      </c>
      <c r="B290" s="6">
        <v>27.0</v>
      </c>
      <c r="C290" s="7">
        <v>150.0</v>
      </c>
      <c r="D290" s="15">
        <v>16294.0</v>
      </c>
      <c r="E290" s="8">
        <v>46764.0</v>
      </c>
      <c r="F290" s="8">
        <v>367523.0</v>
      </c>
      <c r="G290" s="8">
        <v>6875.0</v>
      </c>
      <c r="H290" s="8">
        <v>396285.0</v>
      </c>
      <c r="I290" s="8">
        <v>348921.0</v>
      </c>
      <c r="J290" s="15">
        <v>245499.0</v>
      </c>
      <c r="K290" s="9"/>
      <c r="L290" s="9"/>
    </row>
    <row r="291">
      <c r="A291" s="5" t="s">
        <v>13</v>
      </c>
      <c r="B291" s="6">
        <v>27.0</v>
      </c>
      <c r="C291" s="7">
        <v>200.0</v>
      </c>
      <c r="D291" s="15">
        <v>23145.0</v>
      </c>
      <c r="E291" s="15">
        <v>65540.0</v>
      </c>
      <c r="F291" s="8">
        <v>504236.0</v>
      </c>
      <c r="G291" s="8">
        <v>9445.0</v>
      </c>
      <c r="H291" s="8">
        <v>543004.0</v>
      </c>
      <c r="I291" s="8">
        <v>479217.0</v>
      </c>
      <c r="J291" s="15">
        <v>327332.0</v>
      </c>
      <c r="K291" s="9"/>
      <c r="L291" s="9"/>
    </row>
    <row r="292">
      <c r="A292" s="5" t="s">
        <v>13</v>
      </c>
      <c r="B292" s="6">
        <v>27.0</v>
      </c>
      <c r="C292" s="7">
        <v>300.0</v>
      </c>
      <c r="D292" s="11">
        <v>30122.0</v>
      </c>
      <c r="E292" s="11">
        <v>100120.0</v>
      </c>
      <c r="F292" s="12">
        <f t="shared" ref="F292:F294" si="109">H292*92.5%</f>
        <v>760080.2663</v>
      </c>
      <c r="G292" s="12">
        <f t="shared" ref="G292:G294" si="110">H292*0.0172</f>
        <v>14133.38441</v>
      </c>
      <c r="H292" s="12">
        <f t="shared" ref="H292:H293" si="111">K292*86.2%</f>
        <v>821708.396</v>
      </c>
      <c r="I292" s="12">
        <f t="shared" ref="I292:I294" si="112">H292*87.5%</f>
        <v>718994.8465</v>
      </c>
      <c r="J292" s="11">
        <v>490999.0</v>
      </c>
      <c r="K292" s="17">
        <v>953258.0</v>
      </c>
      <c r="L292" s="9"/>
    </row>
    <row r="293">
      <c r="A293" s="5" t="s">
        <v>13</v>
      </c>
      <c r="B293" s="6">
        <v>27.0</v>
      </c>
      <c r="C293" s="7">
        <v>400.0</v>
      </c>
      <c r="D293" s="11">
        <v>40500.0</v>
      </c>
      <c r="E293" s="11">
        <v>134488.0</v>
      </c>
      <c r="F293" s="12">
        <f t="shared" si="109"/>
        <v>1017194.545</v>
      </c>
      <c r="G293" s="12">
        <f t="shared" si="110"/>
        <v>18914.32018</v>
      </c>
      <c r="H293" s="12">
        <f t="shared" si="111"/>
        <v>1099669.778</v>
      </c>
      <c r="I293" s="12">
        <f t="shared" si="112"/>
        <v>962211.0558</v>
      </c>
      <c r="J293" s="11">
        <v>654665.0</v>
      </c>
      <c r="K293" s="17">
        <v>1275719.0</v>
      </c>
      <c r="L293" s="9"/>
    </row>
    <row r="294">
      <c r="A294" s="5" t="s">
        <v>13</v>
      </c>
      <c r="B294" s="6">
        <v>28.0</v>
      </c>
      <c r="C294" s="7">
        <v>50.0</v>
      </c>
      <c r="D294" s="8">
        <v>3952.0</v>
      </c>
      <c r="E294" s="8">
        <v>13626.0</v>
      </c>
      <c r="F294" s="8">
        <f t="shared" si="109"/>
        <v>108290.675</v>
      </c>
      <c r="G294" s="8">
        <f t="shared" si="110"/>
        <v>2013.6212</v>
      </c>
      <c r="H294" s="8">
        <v>117071.0</v>
      </c>
      <c r="I294" s="8">
        <f t="shared" si="112"/>
        <v>102437.125</v>
      </c>
      <c r="J294" s="8">
        <v>78493.0</v>
      </c>
      <c r="K294" s="9"/>
      <c r="L294" s="9"/>
    </row>
    <row r="295">
      <c r="A295" s="5" t="s">
        <v>13</v>
      </c>
      <c r="B295" s="6">
        <v>28.0</v>
      </c>
      <c r="C295" s="7">
        <v>100.0</v>
      </c>
      <c r="D295" s="8">
        <v>8914.0</v>
      </c>
      <c r="E295" s="8">
        <v>30228.0</v>
      </c>
      <c r="F295" s="8">
        <v>227573.0</v>
      </c>
      <c r="G295" s="8">
        <v>4252.0</v>
      </c>
      <c r="H295" s="8">
        <v>245660.0</v>
      </c>
      <c r="I295" s="8">
        <v>215859.0</v>
      </c>
      <c r="J295" s="8">
        <v>156986.0</v>
      </c>
      <c r="K295" s="9"/>
      <c r="L295" s="9"/>
    </row>
    <row r="296">
      <c r="A296" s="5" t="s">
        <v>13</v>
      </c>
      <c r="B296" s="6">
        <v>28.0</v>
      </c>
      <c r="C296" s="7">
        <v>150.0</v>
      </c>
      <c r="D296" s="8">
        <v>13876.0</v>
      </c>
      <c r="E296" s="8">
        <v>46830.0</v>
      </c>
      <c r="F296" s="8">
        <f t="shared" ref="F296:F437" si="113">H296*92.5%</f>
        <v>346185.875</v>
      </c>
      <c r="G296" s="8">
        <f t="shared" ref="G296:G437" si="114">H296*0.0172</f>
        <v>6437.186</v>
      </c>
      <c r="H296" s="8">
        <v>374255.0</v>
      </c>
      <c r="I296" s="8">
        <f t="shared" ref="I296:I437" si="115">H296*87.5%</f>
        <v>327473.125</v>
      </c>
      <c r="J296" s="8">
        <v>235479.0</v>
      </c>
      <c r="K296" s="9"/>
      <c r="L296" s="9"/>
    </row>
    <row r="297">
      <c r="A297" s="5" t="s">
        <v>13</v>
      </c>
      <c r="B297" s="6">
        <v>28.0</v>
      </c>
      <c r="C297" s="7">
        <v>200.0</v>
      </c>
      <c r="D297" s="8">
        <v>19745.0</v>
      </c>
      <c r="E297" s="8">
        <v>65560.0</v>
      </c>
      <c r="F297" s="8">
        <f t="shared" si="113"/>
        <v>473943.175</v>
      </c>
      <c r="G297" s="8">
        <f t="shared" si="114"/>
        <v>8812.7812</v>
      </c>
      <c r="H297" s="8">
        <v>512371.0</v>
      </c>
      <c r="I297" s="8">
        <f t="shared" si="115"/>
        <v>448324.625</v>
      </c>
      <c r="J297" s="8">
        <v>313972.0</v>
      </c>
      <c r="K297" s="9"/>
      <c r="L297" s="9"/>
    </row>
    <row r="298">
      <c r="A298" s="5" t="s">
        <v>13</v>
      </c>
      <c r="B298" s="6">
        <v>28.0</v>
      </c>
      <c r="C298" s="7">
        <v>300.0</v>
      </c>
      <c r="D298" s="11">
        <v>30170.0</v>
      </c>
      <c r="E298" s="11">
        <v>100150.0</v>
      </c>
      <c r="F298" s="12">
        <f t="shared" si="113"/>
        <v>717065.6259</v>
      </c>
      <c r="G298" s="12">
        <f t="shared" si="114"/>
        <v>13333.54461</v>
      </c>
      <c r="H298" s="12">
        <f t="shared" ref="H298:H299" si="116">K298*86.2%</f>
        <v>775206.082</v>
      </c>
      <c r="I298" s="12">
        <f t="shared" si="115"/>
        <v>678305.3218</v>
      </c>
      <c r="J298" s="11">
        <v>470958.0</v>
      </c>
      <c r="K298" s="16">
        <v>899311.0</v>
      </c>
      <c r="L298" s="9"/>
    </row>
    <row r="299">
      <c r="A299" s="5" t="s">
        <v>13</v>
      </c>
      <c r="B299" s="6">
        <v>28.0</v>
      </c>
      <c r="C299" s="7">
        <v>400.0</v>
      </c>
      <c r="D299" s="11">
        <v>40565.0</v>
      </c>
      <c r="E299" s="11">
        <v>134529.0</v>
      </c>
      <c r="F299" s="12">
        <f t="shared" si="113"/>
        <v>959566.0734</v>
      </c>
      <c r="G299" s="12">
        <f t="shared" si="114"/>
        <v>17842.74212</v>
      </c>
      <c r="H299" s="12">
        <f t="shared" si="116"/>
        <v>1037368.728</v>
      </c>
      <c r="I299" s="12">
        <f t="shared" si="115"/>
        <v>907697.637</v>
      </c>
      <c r="J299" s="11">
        <v>627944.0</v>
      </c>
      <c r="K299" s="16">
        <v>1203444.0</v>
      </c>
      <c r="L299" s="9"/>
    </row>
    <row r="300">
      <c r="A300" s="5" t="s">
        <v>13</v>
      </c>
      <c r="B300" s="6">
        <v>29.0</v>
      </c>
      <c r="C300" s="7">
        <v>50.0</v>
      </c>
      <c r="D300" s="8">
        <v>3964.0</v>
      </c>
      <c r="E300" s="8">
        <v>13634.0</v>
      </c>
      <c r="F300" s="8">
        <f t="shared" si="113"/>
        <v>102589.9</v>
      </c>
      <c r="G300" s="8">
        <f t="shared" si="114"/>
        <v>1907.6176</v>
      </c>
      <c r="H300" s="8">
        <v>110908.0</v>
      </c>
      <c r="I300" s="8">
        <f t="shared" si="115"/>
        <v>97044.5</v>
      </c>
      <c r="J300" s="8">
        <v>75529.0</v>
      </c>
      <c r="K300" s="9"/>
      <c r="L300" s="9"/>
    </row>
    <row r="301">
      <c r="A301" s="5" t="s">
        <v>13</v>
      </c>
      <c r="B301" s="6">
        <v>29.0</v>
      </c>
      <c r="C301" s="7">
        <v>100.0</v>
      </c>
      <c r="D301" s="8">
        <v>8939.0</v>
      </c>
      <c r="E301" s="8">
        <v>30244.0</v>
      </c>
      <c r="F301" s="8">
        <f t="shared" si="113"/>
        <v>215059.725</v>
      </c>
      <c r="G301" s="8">
        <f t="shared" si="114"/>
        <v>3998.9484</v>
      </c>
      <c r="H301" s="8">
        <v>232497.0</v>
      </c>
      <c r="I301" s="8">
        <f t="shared" si="115"/>
        <v>203434.875</v>
      </c>
      <c r="J301" s="8">
        <v>151058.0</v>
      </c>
      <c r="K301" s="9"/>
      <c r="L301" s="9"/>
    </row>
    <row r="302">
      <c r="A302" s="5" t="s">
        <v>13</v>
      </c>
      <c r="B302" s="6">
        <v>29.0</v>
      </c>
      <c r="C302" s="7">
        <v>150.0</v>
      </c>
      <c r="D302" s="8">
        <v>13914.0</v>
      </c>
      <c r="E302" s="8">
        <v>46854.0</v>
      </c>
      <c r="F302" s="8">
        <f t="shared" si="113"/>
        <v>327536.95</v>
      </c>
      <c r="G302" s="8">
        <f t="shared" si="114"/>
        <v>6090.4168</v>
      </c>
      <c r="H302" s="8">
        <v>354094.0</v>
      </c>
      <c r="I302" s="8">
        <f t="shared" si="115"/>
        <v>309832.25</v>
      </c>
      <c r="J302" s="8">
        <v>226586.0</v>
      </c>
      <c r="K302" s="9"/>
      <c r="L302" s="9"/>
    </row>
    <row r="303">
      <c r="A303" s="5" t="s">
        <v>13</v>
      </c>
      <c r="B303" s="6">
        <v>29.0</v>
      </c>
      <c r="C303" s="7">
        <v>200.0</v>
      </c>
      <c r="D303" s="8">
        <v>19764.0</v>
      </c>
      <c r="E303" s="8">
        <v>65552.0</v>
      </c>
      <c r="F303" s="8">
        <f t="shared" si="113"/>
        <v>448049.65</v>
      </c>
      <c r="G303" s="8">
        <f t="shared" si="114"/>
        <v>8331.3016</v>
      </c>
      <c r="H303" s="8">
        <v>484378.0</v>
      </c>
      <c r="I303" s="8">
        <f t="shared" si="115"/>
        <v>423830.75</v>
      </c>
      <c r="J303" s="8">
        <v>302115.0</v>
      </c>
      <c r="K303" s="9"/>
      <c r="L303" s="9"/>
    </row>
    <row r="304">
      <c r="A304" s="5" t="s">
        <v>13</v>
      </c>
      <c r="B304" s="6">
        <v>29.0</v>
      </c>
      <c r="C304" s="7">
        <v>300.0</v>
      </c>
      <c r="D304" s="11">
        <v>30200.0</v>
      </c>
      <c r="E304" s="11">
        <v>100139.0</v>
      </c>
      <c r="F304" s="12">
        <f t="shared" si="113"/>
        <v>677754.6762</v>
      </c>
      <c r="G304" s="12">
        <f t="shared" si="114"/>
        <v>12602.57344</v>
      </c>
      <c r="H304" s="12">
        <f t="shared" ref="H304:H437" si="117">K304*86.2%</f>
        <v>732707.758</v>
      </c>
      <c r="I304" s="12">
        <f t="shared" si="115"/>
        <v>641119.2883</v>
      </c>
      <c r="J304" s="11">
        <v>453172.0</v>
      </c>
      <c r="K304" s="17">
        <v>850009.0</v>
      </c>
      <c r="L304" s="9"/>
    </row>
    <row r="305">
      <c r="A305" s="5" t="s">
        <v>13</v>
      </c>
      <c r="B305" s="6">
        <v>29.0</v>
      </c>
      <c r="C305" s="7">
        <v>400.0</v>
      </c>
      <c r="D305" s="11">
        <v>40603.0</v>
      </c>
      <c r="E305" s="11">
        <v>134515.0</v>
      </c>
      <c r="F305" s="12">
        <f t="shared" si="113"/>
        <v>906894.7271</v>
      </c>
      <c r="G305" s="12">
        <f t="shared" si="114"/>
        <v>16863.33979</v>
      </c>
      <c r="H305" s="12">
        <f t="shared" si="117"/>
        <v>980426.732</v>
      </c>
      <c r="I305" s="12">
        <f t="shared" si="115"/>
        <v>857873.3905</v>
      </c>
      <c r="J305" s="11">
        <v>604230.0</v>
      </c>
      <c r="K305" s="17">
        <v>1137386.0</v>
      </c>
      <c r="L305" s="9"/>
    </row>
    <row r="306">
      <c r="A306" s="5" t="s">
        <v>13</v>
      </c>
      <c r="B306" s="6">
        <v>30.0</v>
      </c>
      <c r="C306" s="7">
        <v>50.0</v>
      </c>
      <c r="D306" s="8">
        <v>3977.0</v>
      </c>
      <c r="E306" s="8">
        <v>13644.0</v>
      </c>
      <c r="F306" s="8">
        <f t="shared" si="113"/>
        <v>97346.06945</v>
      </c>
      <c r="G306" s="8">
        <f t="shared" si="114"/>
        <v>1810.110697</v>
      </c>
      <c r="H306" s="8">
        <f t="shared" si="117"/>
        <v>105238.994</v>
      </c>
      <c r="I306" s="8">
        <f t="shared" si="115"/>
        <v>92084.11975</v>
      </c>
      <c r="J306" s="8">
        <v>72780.0</v>
      </c>
      <c r="K306" s="13">
        <v>122087.0</v>
      </c>
      <c r="L306" s="9"/>
    </row>
    <row r="307">
      <c r="A307" s="5" t="s">
        <v>13</v>
      </c>
      <c r="B307" s="6">
        <v>30.0</v>
      </c>
      <c r="C307" s="7">
        <v>100.0</v>
      </c>
      <c r="D307" s="8">
        <v>8965.0</v>
      </c>
      <c r="E307" s="8">
        <v>30264.0</v>
      </c>
      <c r="F307" s="8">
        <f t="shared" si="113"/>
        <v>203577.8073</v>
      </c>
      <c r="G307" s="8">
        <f t="shared" si="114"/>
        <v>3785.446795</v>
      </c>
      <c r="H307" s="8">
        <f t="shared" si="117"/>
        <v>220084.116</v>
      </c>
      <c r="I307" s="8">
        <f t="shared" si="115"/>
        <v>192573.6015</v>
      </c>
      <c r="J307" s="8">
        <v>145561.0</v>
      </c>
      <c r="K307" s="13">
        <v>255318.0</v>
      </c>
      <c r="L307" s="9"/>
    </row>
    <row r="308">
      <c r="A308" s="5" t="s">
        <v>13</v>
      </c>
      <c r="B308" s="6">
        <v>30.0</v>
      </c>
      <c r="C308" s="7">
        <v>150.0</v>
      </c>
      <c r="D308" s="8">
        <v>13952.0</v>
      </c>
      <c r="E308" s="8">
        <v>46884.0</v>
      </c>
      <c r="F308" s="8">
        <f t="shared" si="113"/>
        <v>309807.9505</v>
      </c>
      <c r="G308" s="8">
        <f t="shared" si="114"/>
        <v>5760.753241</v>
      </c>
      <c r="H308" s="8">
        <f t="shared" si="117"/>
        <v>334927.514</v>
      </c>
      <c r="I308" s="8">
        <f t="shared" si="115"/>
        <v>293061.5748</v>
      </c>
      <c r="J308" s="8">
        <v>218341.0</v>
      </c>
      <c r="K308" s="13">
        <v>388547.0</v>
      </c>
      <c r="L308" s="9"/>
    </row>
    <row r="309">
      <c r="A309" s="5" t="s">
        <v>13</v>
      </c>
      <c r="B309" s="6">
        <v>30.0</v>
      </c>
      <c r="C309" s="7">
        <v>200.0</v>
      </c>
      <c r="D309" s="8">
        <v>19777.0</v>
      </c>
      <c r="E309" s="8">
        <v>65536.0</v>
      </c>
      <c r="F309" s="8">
        <f t="shared" si="113"/>
        <v>423246.935</v>
      </c>
      <c r="G309" s="8">
        <f t="shared" si="114"/>
        <v>7870.105169</v>
      </c>
      <c r="H309" s="8">
        <f t="shared" si="117"/>
        <v>457564.254</v>
      </c>
      <c r="I309" s="8">
        <f t="shared" si="115"/>
        <v>400368.7223</v>
      </c>
      <c r="J309" s="8">
        <v>291121.0</v>
      </c>
      <c r="K309" s="13">
        <v>530817.0</v>
      </c>
      <c r="L309" s="9"/>
    </row>
    <row r="310">
      <c r="A310" s="5" t="s">
        <v>13</v>
      </c>
      <c r="B310" s="6">
        <v>30.0</v>
      </c>
      <c r="C310" s="7">
        <v>300.0</v>
      </c>
      <c r="D310" s="11">
        <v>30219.0</v>
      </c>
      <c r="E310" s="11">
        <v>100115.0</v>
      </c>
      <c r="F310" s="12">
        <f t="shared" si="113"/>
        <v>641324.552</v>
      </c>
      <c r="G310" s="12">
        <f t="shared" si="114"/>
        <v>11925.17005</v>
      </c>
      <c r="H310" s="12">
        <f t="shared" si="117"/>
        <v>693323.84</v>
      </c>
      <c r="I310" s="12">
        <f t="shared" si="115"/>
        <v>606658.36</v>
      </c>
      <c r="J310" s="11">
        <v>436681.0</v>
      </c>
      <c r="K310" s="16">
        <v>804320.0</v>
      </c>
      <c r="L310" s="9"/>
    </row>
    <row r="311">
      <c r="A311" s="5" t="s">
        <v>13</v>
      </c>
      <c r="B311" s="6">
        <v>30.0</v>
      </c>
      <c r="C311" s="7">
        <v>400.0</v>
      </c>
      <c r="D311" s="11">
        <v>40630.0</v>
      </c>
      <c r="E311" s="11">
        <v>134482.0</v>
      </c>
      <c r="F311" s="12">
        <f t="shared" si="113"/>
        <v>858082.5548</v>
      </c>
      <c r="G311" s="12">
        <f t="shared" si="114"/>
        <v>15955.69724</v>
      </c>
      <c r="H311" s="12">
        <f t="shared" si="117"/>
        <v>927656.816</v>
      </c>
      <c r="I311" s="12">
        <f t="shared" si="115"/>
        <v>811699.714</v>
      </c>
      <c r="J311" s="11">
        <v>582242.0</v>
      </c>
      <c r="K311" s="16">
        <v>1076168.0</v>
      </c>
      <c r="L311" s="9"/>
    </row>
    <row r="312">
      <c r="A312" s="5" t="s">
        <v>13</v>
      </c>
      <c r="B312" s="6">
        <v>31.0</v>
      </c>
      <c r="C312" s="7">
        <v>50.0</v>
      </c>
      <c r="D312" s="8">
        <v>3979.0</v>
      </c>
      <c r="E312" s="8">
        <v>13609.0</v>
      </c>
      <c r="F312" s="8">
        <f t="shared" si="113"/>
        <v>91337.23985</v>
      </c>
      <c r="G312" s="8">
        <f t="shared" si="114"/>
        <v>1698.378946</v>
      </c>
      <c r="H312" s="8">
        <f t="shared" si="117"/>
        <v>98742.962</v>
      </c>
      <c r="I312" s="8">
        <f t="shared" si="115"/>
        <v>86400.09175</v>
      </c>
      <c r="J312" s="8">
        <v>69061.0</v>
      </c>
      <c r="K312" s="13">
        <v>114551.0</v>
      </c>
      <c r="L312" s="9"/>
    </row>
    <row r="313">
      <c r="A313" s="5" t="s">
        <v>13</v>
      </c>
      <c r="B313" s="6">
        <v>31.0</v>
      </c>
      <c r="C313" s="7">
        <v>100.0</v>
      </c>
      <c r="D313" s="8">
        <v>8969.0</v>
      </c>
      <c r="E313" s="8">
        <v>30194.0</v>
      </c>
      <c r="F313" s="8">
        <f t="shared" si="113"/>
        <v>190896.7529</v>
      </c>
      <c r="G313" s="8">
        <f t="shared" si="114"/>
        <v>3549.64773</v>
      </c>
      <c r="H313" s="8">
        <f t="shared" si="117"/>
        <v>206374.868</v>
      </c>
      <c r="I313" s="8">
        <f t="shared" si="115"/>
        <v>180578.0095</v>
      </c>
      <c r="J313" s="8">
        <v>138122.0</v>
      </c>
      <c r="K313" s="13">
        <v>239414.0</v>
      </c>
      <c r="L313" s="9"/>
    </row>
    <row r="314">
      <c r="A314" s="5" t="s">
        <v>13</v>
      </c>
      <c r="B314" s="6">
        <v>31.0</v>
      </c>
      <c r="C314" s="7">
        <v>150.0</v>
      </c>
      <c r="D314" s="8">
        <v>13959.0</v>
      </c>
      <c r="E314" s="8">
        <v>46779.0</v>
      </c>
      <c r="F314" s="8">
        <f t="shared" si="113"/>
        <v>290456.266</v>
      </c>
      <c r="G314" s="8">
        <f t="shared" si="114"/>
        <v>5400.916513</v>
      </c>
      <c r="H314" s="8">
        <f t="shared" si="117"/>
        <v>314006.774</v>
      </c>
      <c r="I314" s="8">
        <f t="shared" si="115"/>
        <v>274755.9273</v>
      </c>
      <c r="J314" s="8">
        <v>207182.0</v>
      </c>
      <c r="K314" s="13">
        <v>364277.0</v>
      </c>
      <c r="L314" s="9"/>
    </row>
    <row r="315">
      <c r="A315" s="5" t="s">
        <v>13</v>
      </c>
      <c r="B315" s="6">
        <v>31.0</v>
      </c>
      <c r="C315" s="7">
        <v>200.0</v>
      </c>
      <c r="D315" s="8">
        <v>19775.0</v>
      </c>
      <c r="E315" s="8">
        <v>65471.0</v>
      </c>
      <c r="F315" s="8">
        <f t="shared" si="113"/>
        <v>397061.1636</v>
      </c>
      <c r="G315" s="8">
        <f t="shared" si="114"/>
        <v>7383.191366</v>
      </c>
      <c r="H315" s="8">
        <f t="shared" si="117"/>
        <v>429255.312</v>
      </c>
      <c r="I315" s="8">
        <f t="shared" si="115"/>
        <v>375598.398</v>
      </c>
      <c r="J315" s="8">
        <v>276243.0</v>
      </c>
      <c r="K315" s="13">
        <v>497976.0</v>
      </c>
      <c r="L315" s="9"/>
    </row>
    <row r="316">
      <c r="A316" s="5" t="s">
        <v>13</v>
      </c>
      <c r="B316" s="6">
        <v>31.0</v>
      </c>
      <c r="C316" s="7">
        <v>300.0</v>
      </c>
      <c r="D316" s="11">
        <v>30215.0</v>
      </c>
      <c r="E316" s="11">
        <v>100017.0</v>
      </c>
      <c r="F316" s="12">
        <f t="shared" si="113"/>
        <v>601499.3116</v>
      </c>
      <c r="G316" s="12">
        <f t="shared" si="114"/>
        <v>11184.63585</v>
      </c>
      <c r="H316" s="12">
        <f t="shared" si="117"/>
        <v>650269.526</v>
      </c>
      <c r="I316" s="12">
        <f t="shared" si="115"/>
        <v>568985.8353</v>
      </c>
      <c r="J316" s="11">
        <v>414365.0</v>
      </c>
      <c r="K316" s="17">
        <v>754373.0</v>
      </c>
      <c r="L316" s="9"/>
    </row>
    <row r="317">
      <c r="A317" s="5" t="s">
        <v>13</v>
      </c>
      <c r="B317" s="6">
        <v>31.0</v>
      </c>
      <c r="C317" s="7">
        <v>400.0</v>
      </c>
      <c r="D317" s="11">
        <v>40625.0</v>
      </c>
      <c r="E317" s="11">
        <v>134351.0</v>
      </c>
      <c r="F317" s="12">
        <f t="shared" si="113"/>
        <v>804757.3815</v>
      </c>
      <c r="G317" s="12">
        <f t="shared" si="114"/>
        <v>14964.13726</v>
      </c>
      <c r="H317" s="12">
        <f t="shared" si="117"/>
        <v>870007.98</v>
      </c>
      <c r="I317" s="12">
        <f t="shared" si="115"/>
        <v>761256.9825</v>
      </c>
      <c r="J317" s="11">
        <v>552486.0</v>
      </c>
      <c r="K317" s="17">
        <v>1009290.0</v>
      </c>
      <c r="L317" s="9"/>
    </row>
    <row r="318">
      <c r="A318" s="5" t="s">
        <v>13</v>
      </c>
      <c r="B318" s="6">
        <v>32.0</v>
      </c>
      <c r="C318" s="7">
        <v>50.0</v>
      </c>
      <c r="D318" s="8">
        <v>3979.0</v>
      </c>
      <c r="E318" s="8">
        <v>13570.0</v>
      </c>
      <c r="F318" s="8">
        <f t="shared" si="113"/>
        <v>85931.20685</v>
      </c>
      <c r="G318" s="8">
        <f t="shared" si="114"/>
        <v>1597.855954</v>
      </c>
      <c r="H318" s="8">
        <f t="shared" si="117"/>
        <v>92898.602</v>
      </c>
      <c r="I318" s="8">
        <f t="shared" si="115"/>
        <v>81286.27675</v>
      </c>
      <c r="J318" s="8">
        <v>65790.0</v>
      </c>
      <c r="K318" s="13">
        <v>107771.0</v>
      </c>
      <c r="L318" s="9"/>
    </row>
    <row r="319">
      <c r="A319" s="5" t="s">
        <v>13</v>
      </c>
      <c r="B319" s="6">
        <v>32.0</v>
      </c>
      <c r="C319" s="7">
        <v>100.0</v>
      </c>
      <c r="D319" s="8">
        <v>8968.0</v>
      </c>
      <c r="E319" s="8">
        <v>30117.0</v>
      </c>
      <c r="F319" s="8">
        <f t="shared" si="113"/>
        <v>179467.538</v>
      </c>
      <c r="G319" s="8">
        <f t="shared" si="114"/>
        <v>3337.126112</v>
      </c>
      <c r="H319" s="8">
        <f t="shared" si="117"/>
        <v>194018.96</v>
      </c>
      <c r="I319" s="8">
        <f t="shared" si="115"/>
        <v>169766.59</v>
      </c>
      <c r="J319" s="8">
        <v>131579.0</v>
      </c>
      <c r="K319" s="16">
        <v>225080.0</v>
      </c>
      <c r="L319" s="9"/>
    </row>
    <row r="320">
      <c r="A320" s="5" t="s">
        <v>13</v>
      </c>
      <c r="B320" s="6">
        <v>32.0</v>
      </c>
      <c r="C320" s="7">
        <v>150.0</v>
      </c>
      <c r="D320" s="8">
        <v>13958.0</v>
      </c>
      <c r="E320" s="8">
        <v>46664.0</v>
      </c>
      <c r="F320" s="8">
        <f t="shared" si="113"/>
        <v>273003.8692</v>
      </c>
      <c r="G320" s="8">
        <f t="shared" si="114"/>
        <v>5076.39627</v>
      </c>
      <c r="H320" s="8">
        <f t="shared" si="117"/>
        <v>295139.318</v>
      </c>
      <c r="I320" s="8">
        <f t="shared" si="115"/>
        <v>258246.9033</v>
      </c>
      <c r="J320" s="8">
        <v>197368.0</v>
      </c>
      <c r="K320" s="13">
        <v>342389.0</v>
      </c>
      <c r="L320" s="9"/>
    </row>
    <row r="321">
      <c r="A321" s="5" t="s">
        <v>13</v>
      </c>
      <c r="B321" s="6">
        <v>32.0</v>
      </c>
      <c r="C321" s="7">
        <v>200.0</v>
      </c>
      <c r="D321" s="8">
        <v>19759.0</v>
      </c>
      <c r="E321" s="8">
        <v>65380.0</v>
      </c>
      <c r="F321" s="8">
        <f t="shared" si="113"/>
        <v>373332.825</v>
      </c>
      <c r="G321" s="8">
        <f t="shared" si="114"/>
        <v>6941.972529</v>
      </c>
      <c r="H321" s="8">
        <f t="shared" si="117"/>
        <v>403603.054</v>
      </c>
      <c r="I321" s="8">
        <f t="shared" si="115"/>
        <v>353152.6723</v>
      </c>
      <c r="J321" s="8">
        <v>263158.0</v>
      </c>
      <c r="K321" s="16">
        <v>468217.0</v>
      </c>
      <c r="L321" s="9"/>
    </row>
    <row r="322">
      <c r="A322" s="5" t="s">
        <v>13</v>
      </c>
      <c r="B322" s="6">
        <v>32.0</v>
      </c>
      <c r="C322" s="7">
        <v>300.0</v>
      </c>
      <c r="D322" s="11">
        <v>30192.0</v>
      </c>
      <c r="E322" s="11">
        <v>99881.0</v>
      </c>
      <c r="F322" s="12">
        <f t="shared" si="113"/>
        <v>565401.6824</v>
      </c>
      <c r="G322" s="12">
        <f t="shared" si="114"/>
        <v>10513.41507</v>
      </c>
      <c r="H322" s="12">
        <f t="shared" si="117"/>
        <v>611245.062</v>
      </c>
      <c r="I322" s="12">
        <f t="shared" si="115"/>
        <v>534839.4293</v>
      </c>
      <c r="J322" s="11">
        <v>394737.0</v>
      </c>
      <c r="K322" s="16">
        <v>709101.0</v>
      </c>
      <c r="L322" s="9"/>
    </row>
    <row r="323">
      <c r="A323" s="5" t="s">
        <v>13</v>
      </c>
      <c r="B323" s="6">
        <v>32.0</v>
      </c>
      <c r="C323" s="7">
        <v>400.0</v>
      </c>
      <c r="D323" s="11">
        <v>40593.0</v>
      </c>
      <c r="E323" s="11">
        <v>134170.0</v>
      </c>
      <c r="F323" s="12">
        <f t="shared" si="113"/>
        <v>756420.4298</v>
      </c>
      <c r="G323" s="12">
        <f t="shared" si="114"/>
        <v>14065.33124</v>
      </c>
      <c r="H323" s="12">
        <f t="shared" si="117"/>
        <v>817751.816</v>
      </c>
      <c r="I323" s="12">
        <f t="shared" si="115"/>
        <v>715532.839</v>
      </c>
      <c r="J323" s="11">
        <v>526316.0</v>
      </c>
      <c r="K323" s="16">
        <v>948668.0</v>
      </c>
      <c r="L323" s="9"/>
    </row>
    <row r="324">
      <c r="A324" s="5" t="s">
        <v>13</v>
      </c>
      <c r="B324" s="6">
        <v>33.0</v>
      </c>
      <c r="C324" s="7">
        <v>50.0</v>
      </c>
      <c r="D324" s="8">
        <v>3977.0</v>
      </c>
      <c r="E324" s="8">
        <v>13534.0</v>
      </c>
      <c r="F324" s="8">
        <f t="shared" si="113"/>
        <v>80990.0289</v>
      </c>
      <c r="G324" s="8">
        <f t="shared" si="114"/>
        <v>1505.976754</v>
      </c>
      <c r="H324" s="8">
        <f t="shared" si="117"/>
        <v>87556.788</v>
      </c>
      <c r="I324" s="8">
        <f t="shared" si="115"/>
        <v>76612.1895</v>
      </c>
      <c r="J324" s="8">
        <v>62814.0</v>
      </c>
      <c r="K324" s="17">
        <v>101574.0</v>
      </c>
      <c r="L324" s="9"/>
    </row>
    <row r="325">
      <c r="A325" s="5" t="s">
        <v>13</v>
      </c>
      <c r="B325" s="6">
        <v>33.0</v>
      </c>
      <c r="C325" s="7">
        <v>100.0</v>
      </c>
      <c r="D325" s="8">
        <v>8965.0</v>
      </c>
      <c r="E325" s="8">
        <v>30044.0</v>
      </c>
      <c r="F325" s="8">
        <f t="shared" si="113"/>
        <v>169011.8875</v>
      </c>
      <c r="G325" s="8">
        <f t="shared" si="114"/>
        <v>3142.707529</v>
      </c>
      <c r="H325" s="8">
        <f t="shared" si="117"/>
        <v>182715.554</v>
      </c>
      <c r="I325" s="8">
        <f t="shared" si="115"/>
        <v>159876.1098</v>
      </c>
      <c r="J325" s="8">
        <v>125628.0</v>
      </c>
      <c r="K325" s="17">
        <v>211967.0</v>
      </c>
      <c r="L325" s="9"/>
    </row>
    <row r="326">
      <c r="A326" s="5" t="s">
        <v>13</v>
      </c>
      <c r="B326" s="6">
        <v>33.0</v>
      </c>
      <c r="C326" s="7">
        <v>150.0</v>
      </c>
      <c r="D326" s="8">
        <v>13953.0</v>
      </c>
      <c r="E326" s="8">
        <v>46554.0</v>
      </c>
      <c r="F326" s="8">
        <f t="shared" si="113"/>
        <v>257032.9487</v>
      </c>
      <c r="G326" s="8">
        <f t="shared" si="114"/>
        <v>4779.423478</v>
      </c>
      <c r="H326" s="8">
        <f t="shared" si="117"/>
        <v>277873.458</v>
      </c>
      <c r="I326" s="8">
        <f t="shared" si="115"/>
        <v>243139.2758</v>
      </c>
      <c r="J326" s="8">
        <v>188442.0</v>
      </c>
      <c r="K326" s="17">
        <v>322359.0</v>
      </c>
      <c r="L326" s="9"/>
    </row>
    <row r="327">
      <c r="A327" s="5" t="s">
        <v>13</v>
      </c>
      <c r="B327" s="6">
        <v>33.0</v>
      </c>
      <c r="C327" s="7">
        <v>200.0</v>
      </c>
      <c r="D327" s="8">
        <v>19745.0</v>
      </c>
      <c r="E327" s="8">
        <v>65298.0</v>
      </c>
      <c r="F327" s="8">
        <f t="shared" si="113"/>
        <v>351554.8044</v>
      </c>
      <c r="G327" s="8">
        <f t="shared" si="114"/>
        <v>6537.019066</v>
      </c>
      <c r="H327" s="8">
        <f t="shared" si="117"/>
        <v>380059.248</v>
      </c>
      <c r="I327" s="8">
        <f t="shared" si="115"/>
        <v>332551.842</v>
      </c>
      <c r="J327" s="8">
        <v>251256.0</v>
      </c>
      <c r="K327" s="13">
        <v>440904.0</v>
      </c>
      <c r="L327" s="9"/>
    </row>
    <row r="328">
      <c r="A328" s="5" t="s">
        <v>13</v>
      </c>
      <c r="B328" s="6">
        <v>33.0</v>
      </c>
      <c r="C328" s="7">
        <v>300.0</v>
      </c>
      <c r="D328" s="11">
        <v>30170.0</v>
      </c>
      <c r="E328" s="11">
        <v>99757.0</v>
      </c>
      <c r="F328" s="12">
        <f t="shared" si="113"/>
        <v>532269.3978</v>
      </c>
      <c r="G328" s="12">
        <f t="shared" si="114"/>
        <v>9897.333667</v>
      </c>
      <c r="H328" s="12">
        <f t="shared" si="117"/>
        <v>575426.376</v>
      </c>
      <c r="I328" s="12">
        <f t="shared" si="115"/>
        <v>503498.079</v>
      </c>
      <c r="J328" s="11">
        <v>376884.0</v>
      </c>
      <c r="K328" s="17">
        <v>667548.0</v>
      </c>
      <c r="L328" s="9"/>
    </row>
    <row r="329">
      <c r="A329" s="5" t="s">
        <v>13</v>
      </c>
      <c r="B329" s="6">
        <v>33.0</v>
      </c>
      <c r="C329" s="7">
        <v>400.0</v>
      </c>
      <c r="D329" s="11">
        <v>40564.0</v>
      </c>
      <c r="E329" s="11">
        <v>134004.0</v>
      </c>
      <c r="F329" s="12">
        <f t="shared" si="113"/>
        <v>712051.8891</v>
      </c>
      <c r="G329" s="12">
        <f t="shared" si="114"/>
        <v>13240.31621</v>
      </c>
      <c r="H329" s="12">
        <f t="shared" si="117"/>
        <v>769785.826</v>
      </c>
      <c r="I329" s="12">
        <f t="shared" si="115"/>
        <v>673562.5978</v>
      </c>
      <c r="J329" s="11">
        <v>502513.0</v>
      </c>
      <c r="K329" s="17">
        <v>893023.0</v>
      </c>
      <c r="L329" s="9"/>
    </row>
    <row r="330">
      <c r="A330" s="5" t="s">
        <v>13</v>
      </c>
      <c r="B330" s="6">
        <v>34.0</v>
      </c>
      <c r="C330" s="7">
        <v>50.0</v>
      </c>
      <c r="D330" s="8">
        <v>3977.0</v>
      </c>
      <c r="E330" s="8">
        <v>13502.0</v>
      </c>
      <c r="F330" s="8">
        <f t="shared" si="113"/>
        <v>76465.06765</v>
      </c>
      <c r="G330" s="8">
        <f t="shared" si="114"/>
        <v>1421.836934</v>
      </c>
      <c r="H330" s="8">
        <f t="shared" si="117"/>
        <v>82664.938</v>
      </c>
      <c r="I330" s="8">
        <f t="shared" si="115"/>
        <v>72331.82075</v>
      </c>
      <c r="J330" s="8">
        <v>60096.0</v>
      </c>
      <c r="K330" s="16">
        <v>95899.0</v>
      </c>
      <c r="L330" s="9"/>
    </row>
    <row r="331">
      <c r="A331" s="5" t="s">
        <v>13</v>
      </c>
      <c r="B331" s="6">
        <v>34.0</v>
      </c>
      <c r="C331" s="7">
        <v>100.0</v>
      </c>
      <c r="D331" s="8">
        <v>8964.0</v>
      </c>
      <c r="E331" s="8">
        <v>29981.0</v>
      </c>
      <c r="F331" s="8">
        <f t="shared" si="113"/>
        <v>159424.5511</v>
      </c>
      <c r="G331" s="8">
        <f t="shared" si="114"/>
        <v>2964.434895</v>
      </c>
      <c r="H331" s="8">
        <f t="shared" si="117"/>
        <v>172350.866</v>
      </c>
      <c r="I331" s="8">
        <f t="shared" si="115"/>
        <v>150807.0078</v>
      </c>
      <c r="J331" s="8">
        <v>120192.0</v>
      </c>
      <c r="K331" s="16">
        <v>199943.0</v>
      </c>
      <c r="L331" s="9"/>
    </row>
    <row r="332">
      <c r="A332" s="5" t="s">
        <v>13</v>
      </c>
      <c r="B332" s="6">
        <v>34.0</v>
      </c>
      <c r="C332" s="7">
        <v>150.0</v>
      </c>
      <c r="D332" s="8">
        <v>13952.0</v>
      </c>
      <c r="E332" s="8">
        <v>46459.0</v>
      </c>
      <c r="F332" s="8">
        <f t="shared" si="113"/>
        <v>242384.8318</v>
      </c>
      <c r="G332" s="8">
        <f t="shared" si="114"/>
        <v>4507.047683</v>
      </c>
      <c r="H332" s="8">
        <f t="shared" si="117"/>
        <v>262037.656</v>
      </c>
      <c r="I332" s="8">
        <f t="shared" si="115"/>
        <v>229282.949</v>
      </c>
      <c r="J332" s="8">
        <v>180288.0</v>
      </c>
      <c r="K332" s="16">
        <v>303988.0</v>
      </c>
      <c r="L332" s="9"/>
    </row>
    <row r="333">
      <c r="A333" s="5" t="s">
        <v>13</v>
      </c>
      <c r="B333" s="6">
        <v>34.0</v>
      </c>
      <c r="C333" s="7">
        <v>200.0</v>
      </c>
      <c r="D333" s="8">
        <v>18939.0</v>
      </c>
      <c r="E333" s="8">
        <v>62937.0</v>
      </c>
      <c r="F333" s="8">
        <f t="shared" si="113"/>
        <v>325345.1126</v>
      </c>
      <c r="G333" s="8">
        <f t="shared" si="114"/>
        <v>6049.660471</v>
      </c>
      <c r="H333" s="8">
        <f t="shared" si="117"/>
        <v>351724.446</v>
      </c>
      <c r="I333" s="8">
        <f t="shared" si="115"/>
        <v>307758.8903</v>
      </c>
      <c r="J333" s="8">
        <v>240385.0</v>
      </c>
      <c r="K333" s="16">
        <v>408033.0</v>
      </c>
      <c r="L333" s="9"/>
    </row>
    <row r="334">
      <c r="A334" s="5" t="s">
        <v>13</v>
      </c>
      <c r="B334" s="6">
        <v>34.0</v>
      </c>
      <c r="C334" s="7">
        <v>300.0</v>
      </c>
      <c r="D334" s="11">
        <v>30156.0</v>
      </c>
      <c r="E334" s="11">
        <v>99655.0</v>
      </c>
      <c r="F334" s="12">
        <f t="shared" si="113"/>
        <v>501782.7206</v>
      </c>
      <c r="G334" s="12">
        <f t="shared" si="114"/>
        <v>9330.446263</v>
      </c>
      <c r="H334" s="12">
        <f t="shared" si="117"/>
        <v>542467.806</v>
      </c>
      <c r="I334" s="12">
        <f t="shared" si="115"/>
        <v>474659.3303</v>
      </c>
      <c r="J334" s="11">
        <v>360577.0</v>
      </c>
      <c r="K334" s="16">
        <v>629313.0</v>
      </c>
      <c r="L334" s="9"/>
    </row>
    <row r="335">
      <c r="A335" s="5" t="s">
        <v>13</v>
      </c>
      <c r="B335" s="6">
        <v>34.0</v>
      </c>
      <c r="C335" s="7">
        <v>400.0</v>
      </c>
      <c r="D335" s="11">
        <v>40546.0</v>
      </c>
      <c r="E335" s="11">
        <v>133869.0</v>
      </c>
      <c r="F335" s="12">
        <f t="shared" si="113"/>
        <v>671221.1903</v>
      </c>
      <c r="G335" s="12">
        <f t="shared" si="114"/>
        <v>12481.08592</v>
      </c>
      <c r="H335" s="12">
        <f t="shared" si="117"/>
        <v>725644.53</v>
      </c>
      <c r="I335" s="12">
        <f t="shared" si="115"/>
        <v>634938.9638</v>
      </c>
      <c r="J335" s="11">
        <v>480769.0</v>
      </c>
      <c r="K335" s="16">
        <v>841815.0</v>
      </c>
      <c r="L335" s="9"/>
    </row>
    <row r="336">
      <c r="A336" s="5" t="s">
        <v>13</v>
      </c>
      <c r="B336" s="6">
        <v>35.0</v>
      </c>
      <c r="C336" s="7">
        <v>50.0</v>
      </c>
      <c r="D336" s="8">
        <v>3976.0</v>
      </c>
      <c r="E336" s="8">
        <v>13471.0</v>
      </c>
      <c r="F336" s="8">
        <f t="shared" si="113"/>
        <v>72297.3192</v>
      </c>
      <c r="G336" s="8">
        <f t="shared" si="114"/>
        <v>1344.339341</v>
      </c>
      <c r="H336" s="8">
        <f t="shared" si="117"/>
        <v>78159.264</v>
      </c>
      <c r="I336" s="8">
        <f t="shared" si="115"/>
        <v>68389.356</v>
      </c>
      <c r="J336" s="8">
        <v>57604.0</v>
      </c>
      <c r="K336" s="17">
        <v>90672.0</v>
      </c>
      <c r="L336" s="9"/>
    </row>
    <row r="337">
      <c r="A337" s="5" t="s">
        <v>13</v>
      </c>
      <c r="B337" s="6">
        <v>35.0</v>
      </c>
      <c r="C337" s="7">
        <v>100.0</v>
      </c>
      <c r="D337" s="8">
        <v>8962.0</v>
      </c>
      <c r="E337" s="8">
        <v>29919.0</v>
      </c>
      <c r="F337" s="8">
        <f t="shared" si="113"/>
        <v>150589.9131</v>
      </c>
      <c r="G337" s="8">
        <f t="shared" si="114"/>
        <v>2800.158383</v>
      </c>
      <c r="H337" s="8">
        <f t="shared" si="117"/>
        <v>162799.906</v>
      </c>
      <c r="I337" s="8">
        <f t="shared" si="115"/>
        <v>142449.9178</v>
      </c>
      <c r="J337" s="8">
        <v>115207.0</v>
      </c>
      <c r="K337" s="17">
        <v>188863.0</v>
      </c>
      <c r="L337" s="9"/>
    </row>
    <row r="338">
      <c r="A338" s="5" t="s">
        <v>13</v>
      </c>
      <c r="B338" s="6">
        <v>35.0</v>
      </c>
      <c r="C338" s="7">
        <v>150.0</v>
      </c>
      <c r="D338" s="8">
        <v>13948.0</v>
      </c>
      <c r="E338" s="8">
        <v>46366.0</v>
      </c>
      <c r="F338" s="8">
        <f t="shared" si="113"/>
        <v>228883.3043</v>
      </c>
      <c r="G338" s="8">
        <f t="shared" si="114"/>
        <v>4255.992252</v>
      </c>
      <c r="H338" s="8">
        <f t="shared" si="117"/>
        <v>247441.41</v>
      </c>
      <c r="I338" s="8">
        <f t="shared" si="115"/>
        <v>216511.2338</v>
      </c>
      <c r="J338" s="8">
        <v>172811.0</v>
      </c>
      <c r="K338" s="17">
        <v>287055.0</v>
      </c>
      <c r="L338" s="9"/>
    </row>
    <row r="339">
      <c r="A339" s="5" t="s">
        <v>13</v>
      </c>
      <c r="B339" s="6">
        <v>35.0</v>
      </c>
      <c r="C339" s="7">
        <v>200.0</v>
      </c>
      <c r="D339" s="8">
        <v>18934.0</v>
      </c>
      <c r="E339" s="15">
        <v>62814.0</v>
      </c>
      <c r="F339" s="8">
        <f t="shared" si="113"/>
        <v>307176.6955</v>
      </c>
      <c r="G339" s="8">
        <f t="shared" si="114"/>
        <v>5711.826121</v>
      </c>
      <c r="H339" s="8">
        <f t="shared" si="117"/>
        <v>332082.914</v>
      </c>
      <c r="I339" s="8">
        <f t="shared" si="115"/>
        <v>290572.5498</v>
      </c>
      <c r="J339" s="8">
        <v>230415.0</v>
      </c>
      <c r="K339" s="17">
        <v>385247.0</v>
      </c>
      <c r="L339" s="9"/>
    </row>
    <row r="340">
      <c r="A340" s="5" t="s">
        <v>13</v>
      </c>
      <c r="B340" s="6">
        <v>35.0</v>
      </c>
      <c r="C340" s="7">
        <v>300.0</v>
      </c>
      <c r="D340" s="11">
        <v>30138.0</v>
      </c>
      <c r="E340" s="11">
        <v>99551.0</v>
      </c>
      <c r="F340" s="12">
        <f t="shared" si="113"/>
        <v>473599.5875</v>
      </c>
      <c r="G340" s="12">
        <f t="shared" si="114"/>
        <v>8806.392329</v>
      </c>
      <c r="H340" s="12">
        <f t="shared" si="117"/>
        <v>511999.554</v>
      </c>
      <c r="I340" s="12">
        <f t="shared" si="115"/>
        <v>447999.6098</v>
      </c>
      <c r="J340" s="11">
        <v>345622.0</v>
      </c>
      <c r="K340" s="17">
        <v>593967.0</v>
      </c>
      <c r="L340" s="9"/>
    </row>
    <row r="341">
      <c r="A341" s="5" t="s">
        <v>13</v>
      </c>
      <c r="B341" s="6">
        <v>35.0</v>
      </c>
      <c r="C341" s="7">
        <v>400.0</v>
      </c>
      <c r="D341" s="11">
        <v>40522.0</v>
      </c>
      <c r="E341" s="11">
        <v>133731.0</v>
      </c>
      <c r="F341" s="12">
        <f t="shared" si="113"/>
        <v>633476.236</v>
      </c>
      <c r="G341" s="12">
        <f t="shared" si="114"/>
        <v>11779.23379</v>
      </c>
      <c r="H341" s="12">
        <f t="shared" si="117"/>
        <v>684839.174</v>
      </c>
      <c r="I341" s="12">
        <f t="shared" si="115"/>
        <v>599234.2773</v>
      </c>
      <c r="J341" s="11">
        <v>460829.0</v>
      </c>
      <c r="K341" s="17">
        <v>794477.0</v>
      </c>
      <c r="L341" s="9"/>
    </row>
    <row r="342">
      <c r="A342" s="5" t="s">
        <v>13</v>
      </c>
      <c r="B342" s="6">
        <v>36.0</v>
      </c>
      <c r="C342" s="7">
        <v>50.0</v>
      </c>
      <c r="D342" s="8">
        <v>3977.0</v>
      </c>
      <c r="E342" s="8">
        <v>13414.0</v>
      </c>
      <c r="F342" s="8">
        <f t="shared" si="113"/>
        <v>67803.4546</v>
      </c>
      <c r="G342" s="8">
        <f t="shared" si="114"/>
        <v>1260.77775</v>
      </c>
      <c r="H342" s="8">
        <f t="shared" si="117"/>
        <v>73301.032</v>
      </c>
      <c r="I342" s="8">
        <f t="shared" si="115"/>
        <v>64138.403</v>
      </c>
      <c r="J342" s="8">
        <v>54645.0</v>
      </c>
      <c r="K342" s="16">
        <v>85036.0</v>
      </c>
      <c r="L342" s="9"/>
    </row>
    <row r="343">
      <c r="A343" s="5" t="s">
        <v>13</v>
      </c>
      <c r="B343" s="6">
        <v>36.0</v>
      </c>
      <c r="C343" s="7">
        <v>100.0</v>
      </c>
      <c r="D343" s="8">
        <v>8964.0</v>
      </c>
      <c r="E343" s="8">
        <v>29805.0</v>
      </c>
      <c r="F343" s="8">
        <f t="shared" si="113"/>
        <v>141138.9235</v>
      </c>
      <c r="G343" s="8">
        <f t="shared" si="114"/>
        <v>2624.421064</v>
      </c>
      <c r="H343" s="8">
        <f t="shared" si="117"/>
        <v>152582.62</v>
      </c>
      <c r="I343" s="8">
        <f t="shared" si="115"/>
        <v>133509.7925</v>
      </c>
      <c r="J343" s="8">
        <v>109290.0</v>
      </c>
      <c r="K343" s="16">
        <v>177010.0</v>
      </c>
      <c r="L343" s="9"/>
    </row>
    <row r="344">
      <c r="A344" s="5" t="s">
        <v>13</v>
      </c>
      <c r="B344" s="6">
        <v>36.0</v>
      </c>
      <c r="C344" s="7">
        <v>150.0</v>
      </c>
      <c r="D344" s="8">
        <v>13952.0</v>
      </c>
      <c r="E344" s="8">
        <v>46195.0</v>
      </c>
      <c r="F344" s="8">
        <f t="shared" si="113"/>
        <v>214472.7977</v>
      </c>
      <c r="G344" s="8">
        <f t="shared" si="114"/>
        <v>3988.034725</v>
      </c>
      <c r="H344" s="8">
        <f t="shared" si="117"/>
        <v>231862.484</v>
      </c>
      <c r="I344" s="8">
        <f t="shared" si="115"/>
        <v>202879.6735</v>
      </c>
      <c r="J344" s="8">
        <v>163934.0</v>
      </c>
      <c r="K344" s="16">
        <v>268982.0</v>
      </c>
      <c r="L344" s="9"/>
    </row>
    <row r="345">
      <c r="A345" s="5" t="s">
        <v>13</v>
      </c>
      <c r="B345" s="6">
        <v>36.0</v>
      </c>
      <c r="C345" s="7">
        <v>200.0</v>
      </c>
      <c r="D345" s="8">
        <v>18939.0</v>
      </c>
      <c r="E345" s="8">
        <v>62586.0</v>
      </c>
      <c r="F345" s="8">
        <f t="shared" si="113"/>
        <v>287807.4693</v>
      </c>
      <c r="G345" s="8">
        <f t="shared" si="114"/>
        <v>5351.663212</v>
      </c>
      <c r="H345" s="8">
        <f t="shared" si="117"/>
        <v>311143.21</v>
      </c>
      <c r="I345" s="8">
        <f t="shared" si="115"/>
        <v>272250.3088</v>
      </c>
      <c r="J345" s="8">
        <v>218579.0</v>
      </c>
      <c r="K345" s="16">
        <v>360955.0</v>
      </c>
      <c r="L345" s="9"/>
    </row>
    <row r="346">
      <c r="A346" s="5" t="s">
        <v>13</v>
      </c>
      <c r="B346" s="6">
        <v>36.0</v>
      </c>
      <c r="C346" s="7">
        <v>300.0</v>
      </c>
      <c r="D346" s="11">
        <v>30015.0</v>
      </c>
      <c r="E346" s="11">
        <v>98833.0</v>
      </c>
      <c r="F346" s="12">
        <f t="shared" si="113"/>
        <v>442604.2009</v>
      </c>
      <c r="G346" s="12">
        <f t="shared" si="114"/>
        <v>8230.045682</v>
      </c>
      <c r="H346" s="12">
        <f t="shared" si="117"/>
        <v>478491.028</v>
      </c>
      <c r="I346" s="12">
        <f t="shared" si="115"/>
        <v>418679.6495</v>
      </c>
      <c r="J346" s="11">
        <v>327869.0</v>
      </c>
      <c r="K346" s="16">
        <v>555094.0</v>
      </c>
      <c r="L346" s="9"/>
    </row>
    <row r="347">
      <c r="A347" s="5" t="s">
        <v>13</v>
      </c>
      <c r="B347" s="6">
        <v>36.0</v>
      </c>
      <c r="C347" s="7">
        <v>400.0</v>
      </c>
      <c r="D347" s="11">
        <v>40357.0</v>
      </c>
      <c r="E347" s="11">
        <v>132773.0</v>
      </c>
      <c r="F347" s="12">
        <f t="shared" si="113"/>
        <v>591992.5075</v>
      </c>
      <c r="G347" s="12">
        <f t="shared" si="114"/>
        <v>11007.86068</v>
      </c>
      <c r="H347" s="12">
        <f t="shared" si="117"/>
        <v>639991.9</v>
      </c>
      <c r="I347" s="12">
        <f t="shared" si="115"/>
        <v>559992.9125</v>
      </c>
      <c r="J347" s="11">
        <v>437158.0</v>
      </c>
      <c r="K347" s="16">
        <v>742450.0</v>
      </c>
      <c r="L347" s="9"/>
    </row>
    <row r="348">
      <c r="A348" s="5" t="s">
        <v>13</v>
      </c>
      <c r="B348" s="6">
        <v>37.0</v>
      </c>
      <c r="C348" s="7">
        <v>50.0</v>
      </c>
      <c r="D348" s="8">
        <v>3977.0</v>
      </c>
      <c r="E348" s="8">
        <v>13361.0</v>
      </c>
      <c r="F348" s="8">
        <f t="shared" si="113"/>
        <v>63725.00935</v>
      </c>
      <c r="G348" s="8">
        <f t="shared" si="114"/>
        <v>1184.940714</v>
      </c>
      <c r="H348" s="8">
        <f t="shared" si="117"/>
        <v>68891.902</v>
      </c>
      <c r="I348" s="8">
        <f t="shared" si="115"/>
        <v>60280.41425</v>
      </c>
      <c r="J348" s="8">
        <v>51975.0</v>
      </c>
      <c r="K348" s="17">
        <v>79921.0</v>
      </c>
      <c r="L348" s="9"/>
    </row>
    <row r="349">
      <c r="A349" s="5" t="s">
        <v>13</v>
      </c>
      <c r="B349" s="6">
        <v>37.0</v>
      </c>
      <c r="C349" s="7">
        <v>100.0</v>
      </c>
      <c r="D349" s="8">
        <v>8965.0</v>
      </c>
      <c r="E349" s="8">
        <v>29698.0</v>
      </c>
      <c r="F349" s="8">
        <f t="shared" si="113"/>
        <v>132547.4773</v>
      </c>
      <c r="G349" s="8">
        <f t="shared" si="114"/>
        <v>2464.666604</v>
      </c>
      <c r="H349" s="8">
        <f t="shared" si="117"/>
        <v>143294.57</v>
      </c>
      <c r="I349" s="8">
        <f t="shared" si="115"/>
        <v>125382.7488</v>
      </c>
      <c r="J349" s="8">
        <v>103950.0</v>
      </c>
      <c r="K349" s="17">
        <v>166235.0</v>
      </c>
      <c r="L349" s="9"/>
    </row>
    <row r="350">
      <c r="A350" s="5" t="s">
        <v>13</v>
      </c>
      <c r="B350" s="6">
        <v>37.0</v>
      </c>
      <c r="C350" s="7">
        <v>150.0</v>
      </c>
      <c r="D350" s="8">
        <v>13953.0</v>
      </c>
      <c r="E350" s="8">
        <v>46036.0</v>
      </c>
      <c r="F350" s="8">
        <f t="shared" si="113"/>
        <v>201369.9452</v>
      </c>
      <c r="G350" s="8">
        <f t="shared" si="114"/>
        <v>3744.392494</v>
      </c>
      <c r="H350" s="8">
        <f t="shared" si="117"/>
        <v>217697.238</v>
      </c>
      <c r="I350" s="8">
        <f t="shared" si="115"/>
        <v>190485.0833</v>
      </c>
      <c r="J350" s="8">
        <v>155925.0</v>
      </c>
      <c r="K350" s="17">
        <v>252549.0</v>
      </c>
      <c r="L350" s="9"/>
    </row>
    <row r="351">
      <c r="A351" s="5" t="s">
        <v>13</v>
      </c>
      <c r="B351" s="6">
        <v>37.0</v>
      </c>
      <c r="C351" s="7">
        <v>200.0</v>
      </c>
      <c r="D351" s="8">
        <v>18941.0</v>
      </c>
      <c r="E351" s="8">
        <v>62373.0</v>
      </c>
      <c r="F351" s="8">
        <f t="shared" si="113"/>
        <v>270192.4131</v>
      </c>
      <c r="G351" s="8">
        <f t="shared" si="114"/>
        <v>5024.118383</v>
      </c>
      <c r="H351" s="8">
        <f t="shared" si="117"/>
        <v>292099.906</v>
      </c>
      <c r="I351" s="8">
        <f t="shared" si="115"/>
        <v>255587.4178</v>
      </c>
      <c r="J351" s="8">
        <v>207900.0</v>
      </c>
      <c r="K351" s="17">
        <v>338863.0</v>
      </c>
      <c r="L351" s="9"/>
    </row>
    <row r="352">
      <c r="A352" s="5" t="s">
        <v>13</v>
      </c>
      <c r="B352" s="6">
        <v>37.0</v>
      </c>
      <c r="C352" s="7">
        <v>300.0</v>
      </c>
      <c r="D352" s="11">
        <v>29904.0</v>
      </c>
      <c r="E352" s="11">
        <v>98185.0</v>
      </c>
      <c r="F352" s="12">
        <f t="shared" si="113"/>
        <v>414541.4677</v>
      </c>
      <c r="G352" s="12">
        <f t="shared" si="114"/>
        <v>7708.230534</v>
      </c>
      <c r="H352" s="12">
        <f t="shared" si="117"/>
        <v>448152.938</v>
      </c>
      <c r="I352" s="12">
        <f t="shared" si="115"/>
        <v>392133.8208</v>
      </c>
      <c r="J352" s="11">
        <v>311850.0</v>
      </c>
      <c r="K352" s="17">
        <v>519899.0</v>
      </c>
      <c r="L352" s="9"/>
    </row>
    <row r="353">
      <c r="A353" s="5" t="s">
        <v>13</v>
      </c>
      <c r="B353" s="6">
        <v>37.0</v>
      </c>
      <c r="C353" s="7">
        <v>400.0</v>
      </c>
      <c r="D353" s="11">
        <v>40209.0</v>
      </c>
      <c r="E353" s="11">
        <v>131909.0</v>
      </c>
      <c r="F353" s="12">
        <f t="shared" si="113"/>
        <v>554430.1464</v>
      </c>
      <c r="G353" s="12">
        <f t="shared" si="114"/>
        <v>10309.4038</v>
      </c>
      <c r="H353" s="12">
        <f t="shared" si="117"/>
        <v>599383.942</v>
      </c>
      <c r="I353" s="12">
        <f t="shared" si="115"/>
        <v>524460.9493</v>
      </c>
      <c r="J353" s="11">
        <v>415800.0</v>
      </c>
      <c r="K353" s="17">
        <v>695341.0</v>
      </c>
      <c r="L353" s="9"/>
    </row>
    <row r="354">
      <c r="A354" s="5" t="s">
        <v>13</v>
      </c>
      <c r="B354" s="6">
        <v>38.0</v>
      </c>
      <c r="C354" s="7">
        <v>50.0</v>
      </c>
      <c r="D354" s="8">
        <v>3953.0</v>
      </c>
      <c r="E354" s="8">
        <v>13253.0</v>
      </c>
      <c r="F354" s="8">
        <f t="shared" si="113"/>
        <v>60262.1183</v>
      </c>
      <c r="G354" s="8">
        <f t="shared" si="114"/>
        <v>1120.549659</v>
      </c>
      <c r="H354" s="8">
        <f t="shared" si="117"/>
        <v>65148.236</v>
      </c>
      <c r="I354" s="8">
        <f t="shared" si="115"/>
        <v>57004.7065</v>
      </c>
      <c r="J354" s="8">
        <v>50000.0</v>
      </c>
      <c r="K354" s="16">
        <v>75578.0</v>
      </c>
      <c r="L354" s="9"/>
    </row>
    <row r="355">
      <c r="A355" s="5" t="s">
        <v>13</v>
      </c>
      <c r="B355" s="6">
        <v>38.0</v>
      </c>
      <c r="C355" s="7">
        <v>100.0</v>
      </c>
      <c r="D355" s="8">
        <v>8967.0</v>
      </c>
      <c r="E355" s="8">
        <v>29605.0</v>
      </c>
      <c r="F355" s="8">
        <f t="shared" si="113"/>
        <v>124709.5268</v>
      </c>
      <c r="G355" s="8">
        <f t="shared" si="114"/>
        <v>2318.923092</v>
      </c>
      <c r="H355" s="8">
        <f t="shared" si="117"/>
        <v>134821.11</v>
      </c>
      <c r="I355" s="8">
        <f t="shared" si="115"/>
        <v>117968.4713</v>
      </c>
      <c r="J355" s="8">
        <v>99108.0</v>
      </c>
      <c r="K355" s="16">
        <v>156405.0</v>
      </c>
      <c r="L355" s="9"/>
    </row>
    <row r="356">
      <c r="A356" s="5" t="s">
        <v>13</v>
      </c>
      <c r="B356" s="6">
        <v>38.0</v>
      </c>
      <c r="C356" s="7">
        <v>150.0</v>
      </c>
      <c r="D356" s="8">
        <v>13956.0</v>
      </c>
      <c r="E356" s="8">
        <v>45896.0</v>
      </c>
      <c r="F356" s="8">
        <f t="shared" si="113"/>
        <v>189412.0872</v>
      </c>
      <c r="G356" s="8">
        <f t="shared" si="114"/>
        <v>3522.040973</v>
      </c>
      <c r="H356" s="8">
        <f t="shared" si="117"/>
        <v>204769.824</v>
      </c>
      <c r="I356" s="8">
        <f t="shared" si="115"/>
        <v>179173.596</v>
      </c>
      <c r="J356" s="8">
        <v>148662.0</v>
      </c>
      <c r="K356" s="16">
        <v>237552.0</v>
      </c>
      <c r="L356" s="9"/>
    </row>
    <row r="357">
      <c r="A357" s="5" t="s">
        <v>13</v>
      </c>
      <c r="B357" s="6">
        <v>38.0</v>
      </c>
      <c r="C357" s="7">
        <v>200.0</v>
      </c>
      <c r="D357" s="8">
        <v>18945.0</v>
      </c>
      <c r="E357" s="8">
        <v>62187.0</v>
      </c>
      <c r="F357" s="8">
        <f t="shared" si="113"/>
        <v>254113.8503</v>
      </c>
      <c r="G357" s="8">
        <f t="shared" si="114"/>
        <v>4725.144027</v>
      </c>
      <c r="H357" s="8">
        <f t="shared" si="117"/>
        <v>274717.676</v>
      </c>
      <c r="I357" s="8">
        <f t="shared" si="115"/>
        <v>240377.9665</v>
      </c>
      <c r="J357" s="8">
        <v>198216.0</v>
      </c>
      <c r="K357" s="16">
        <v>318698.0</v>
      </c>
      <c r="L357" s="9"/>
    </row>
    <row r="358">
      <c r="A358" s="5" t="s">
        <v>13</v>
      </c>
      <c r="B358" s="6">
        <v>38.0</v>
      </c>
      <c r="C358" s="7">
        <v>300.0</v>
      </c>
      <c r="D358" s="11">
        <v>29803.0</v>
      </c>
      <c r="E358" s="11">
        <v>97597.0</v>
      </c>
      <c r="F358" s="12">
        <f t="shared" si="113"/>
        <v>389011.9154</v>
      </c>
      <c r="G358" s="12">
        <f t="shared" si="114"/>
        <v>7233.518858</v>
      </c>
      <c r="H358" s="12">
        <f t="shared" si="117"/>
        <v>420553.422</v>
      </c>
      <c r="I358" s="12">
        <f t="shared" si="115"/>
        <v>367984.2443</v>
      </c>
      <c r="J358" s="11">
        <v>297324.0</v>
      </c>
      <c r="K358" s="16">
        <v>487881.0</v>
      </c>
      <c r="L358" s="9"/>
    </row>
    <row r="359">
      <c r="A359" s="5" t="s">
        <v>13</v>
      </c>
      <c r="B359" s="6">
        <v>38.0</v>
      </c>
      <c r="C359" s="7">
        <v>400.0</v>
      </c>
      <c r="D359" s="11">
        <v>40075.0</v>
      </c>
      <c r="E359" s="11">
        <v>131125.0</v>
      </c>
      <c r="F359" s="12">
        <f t="shared" si="113"/>
        <v>520254.928</v>
      </c>
      <c r="G359" s="12">
        <f t="shared" si="114"/>
        <v>9673.929472</v>
      </c>
      <c r="H359" s="12">
        <f t="shared" si="117"/>
        <v>562437.76</v>
      </c>
      <c r="I359" s="12">
        <f t="shared" si="115"/>
        <v>492133.04</v>
      </c>
      <c r="J359" s="11">
        <v>396432.0</v>
      </c>
      <c r="K359" s="16">
        <v>652480.0</v>
      </c>
      <c r="L359" s="9"/>
    </row>
    <row r="360">
      <c r="A360" s="5" t="s">
        <v>13</v>
      </c>
      <c r="B360" s="6">
        <v>39.0</v>
      </c>
      <c r="C360" s="7">
        <v>50.0</v>
      </c>
      <c r="D360" s="8">
        <v>3824.0</v>
      </c>
      <c r="E360" s="8">
        <v>12888.0</v>
      </c>
      <c r="F360" s="8">
        <f t="shared" si="113"/>
        <v>58133.99115</v>
      </c>
      <c r="G360" s="8">
        <f t="shared" si="114"/>
        <v>1080.977998</v>
      </c>
      <c r="H360" s="8">
        <f t="shared" si="117"/>
        <v>62847.558</v>
      </c>
      <c r="I360" s="8">
        <f t="shared" si="115"/>
        <v>54991.61325</v>
      </c>
      <c r="J360" s="8">
        <v>50000.0</v>
      </c>
      <c r="K360" s="17">
        <v>72909.0</v>
      </c>
      <c r="L360" s="9"/>
    </row>
    <row r="361">
      <c r="A361" s="5" t="s">
        <v>13</v>
      </c>
      <c r="B361" s="6">
        <v>39.0</v>
      </c>
      <c r="C361" s="7">
        <v>100.0</v>
      </c>
      <c r="D361" s="15">
        <v>8968.0</v>
      </c>
      <c r="E361" s="8">
        <v>29517.0</v>
      </c>
      <c r="F361" s="8">
        <f t="shared" si="113"/>
        <v>117521.4165</v>
      </c>
      <c r="G361" s="8">
        <f t="shared" si="114"/>
        <v>2185.263096</v>
      </c>
      <c r="H361" s="8">
        <f t="shared" si="117"/>
        <v>127050.18</v>
      </c>
      <c r="I361" s="8">
        <f t="shared" si="115"/>
        <v>111168.9075</v>
      </c>
      <c r="J361" s="8">
        <v>94697.0</v>
      </c>
      <c r="K361" s="17">
        <v>147390.0</v>
      </c>
      <c r="L361" s="9"/>
    </row>
    <row r="362">
      <c r="A362" s="5" t="s">
        <v>13</v>
      </c>
      <c r="B362" s="6">
        <v>39.0</v>
      </c>
      <c r="C362" s="7">
        <v>150.0</v>
      </c>
      <c r="D362" s="8">
        <v>13957.0</v>
      </c>
      <c r="E362" s="8">
        <v>45764.0</v>
      </c>
      <c r="F362" s="8">
        <f t="shared" si="113"/>
        <v>178441.3486</v>
      </c>
      <c r="G362" s="8">
        <f t="shared" si="114"/>
        <v>3318.044535</v>
      </c>
      <c r="H362" s="8">
        <f t="shared" si="117"/>
        <v>192909.566</v>
      </c>
      <c r="I362" s="8">
        <f t="shared" si="115"/>
        <v>168795.8703</v>
      </c>
      <c r="J362" s="10">
        <v>142045.0</v>
      </c>
      <c r="K362" s="17">
        <v>223793.0</v>
      </c>
      <c r="L362" s="9"/>
    </row>
    <row r="363">
      <c r="A363" s="5" t="s">
        <v>13</v>
      </c>
      <c r="B363" s="6">
        <v>39.0</v>
      </c>
      <c r="C363" s="7">
        <v>200.0</v>
      </c>
      <c r="D363" s="8">
        <v>18946.0</v>
      </c>
      <c r="E363" s="8">
        <v>62011.0</v>
      </c>
      <c r="F363" s="8">
        <f t="shared" si="113"/>
        <v>239361.2806</v>
      </c>
      <c r="G363" s="8">
        <f t="shared" si="114"/>
        <v>4450.825974</v>
      </c>
      <c r="H363" s="8">
        <f t="shared" si="117"/>
        <v>258768.952</v>
      </c>
      <c r="I363" s="8">
        <f t="shared" si="115"/>
        <v>226422.833</v>
      </c>
      <c r="J363" s="8">
        <v>189394.0</v>
      </c>
      <c r="K363" s="17">
        <v>300196.0</v>
      </c>
      <c r="L363" s="9"/>
    </row>
    <row r="364">
      <c r="A364" s="5" t="s">
        <v>13</v>
      </c>
      <c r="B364" s="6">
        <v>39.0</v>
      </c>
      <c r="C364" s="7">
        <v>300.0</v>
      </c>
      <c r="D364" s="11">
        <v>29711.0</v>
      </c>
      <c r="E364" s="11">
        <v>97062.0</v>
      </c>
      <c r="F364" s="12">
        <f t="shared" si="113"/>
        <v>365691.0226</v>
      </c>
      <c r="G364" s="12">
        <f t="shared" si="114"/>
        <v>6799.876311</v>
      </c>
      <c r="H364" s="12">
        <f t="shared" si="117"/>
        <v>395341.646</v>
      </c>
      <c r="I364" s="12">
        <f t="shared" si="115"/>
        <v>345923.9403</v>
      </c>
      <c r="J364" s="11">
        <v>284091.0</v>
      </c>
      <c r="K364" s="17">
        <v>458633.0</v>
      </c>
      <c r="L364" s="9"/>
    </row>
    <row r="365">
      <c r="A365" s="5" t="s">
        <v>13</v>
      </c>
      <c r="B365" s="6">
        <v>39.0</v>
      </c>
      <c r="C365" s="7">
        <v>400.0</v>
      </c>
      <c r="D365" s="11">
        <v>39953.0</v>
      </c>
      <c r="E365" s="11">
        <v>130411.0</v>
      </c>
      <c r="F365" s="12">
        <f t="shared" si="113"/>
        <v>489034.6888</v>
      </c>
      <c r="G365" s="12">
        <f t="shared" si="114"/>
        <v>9093.40178</v>
      </c>
      <c r="H365" s="12">
        <f t="shared" si="117"/>
        <v>528686.15</v>
      </c>
      <c r="I365" s="12">
        <f t="shared" si="115"/>
        <v>462600.3813</v>
      </c>
      <c r="J365" s="11">
        <v>378788.0</v>
      </c>
      <c r="K365" s="17">
        <v>613325.0</v>
      </c>
      <c r="L365" s="9"/>
    </row>
    <row r="366">
      <c r="A366" s="5" t="s">
        <v>13</v>
      </c>
      <c r="B366" s="6">
        <v>40.0</v>
      </c>
      <c r="C366" s="7">
        <v>50.0</v>
      </c>
      <c r="D366" s="8">
        <v>3694.0</v>
      </c>
      <c r="E366" s="8">
        <v>12523.0</v>
      </c>
      <c r="F366" s="8">
        <f t="shared" si="113"/>
        <v>56210.78295</v>
      </c>
      <c r="G366" s="8">
        <f t="shared" si="114"/>
        <v>1045.216721</v>
      </c>
      <c r="H366" s="8">
        <f t="shared" si="117"/>
        <v>60768.414</v>
      </c>
      <c r="I366" s="8">
        <f t="shared" si="115"/>
        <v>53172.36225</v>
      </c>
      <c r="J366" s="8">
        <v>50000.0</v>
      </c>
      <c r="K366" s="16">
        <v>70497.0</v>
      </c>
      <c r="L366" s="9"/>
    </row>
    <row r="367">
      <c r="A367" s="5" t="s">
        <v>13</v>
      </c>
      <c r="B367" s="6">
        <v>40.0</v>
      </c>
      <c r="C367" s="7">
        <v>100.0</v>
      </c>
      <c r="D367" s="8">
        <v>8968.0</v>
      </c>
      <c r="E367" s="15">
        <v>29437.0</v>
      </c>
      <c r="F367" s="8">
        <f t="shared" si="113"/>
        <v>110907.3983</v>
      </c>
      <c r="G367" s="8">
        <f t="shared" si="114"/>
        <v>2062.278108</v>
      </c>
      <c r="H367" s="8">
        <f t="shared" si="117"/>
        <v>119899.89</v>
      </c>
      <c r="I367" s="8">
        <f t="shared" si="115"/>
        <v>104912.4038</v>
      </c>
      <c r="J367" s="8">
        <v>90662.0</v>
      </c>
      <c r="K367" s="16">
        <v>139095.0</v>
      </c>
      <c r="L367" s="9"/>
    </row>
    <row r="368">
      <c r="A368" s="5" t="s">
        <v>13</v>
      </c>
      <c r="B368" s="6">
        <v>40.0</v>
      </c>
      <c r="C368" s="7">
        <v>150.0</v>
      </c>
      <c r="D368" s="8">
        <v>13957.0</v>
      </c>
      <c r="E368" s="8">
        <v>45643.0</v>
      </c>
      <c r="F368" s="8">
        <f t="shared" si="113"/>
        <v>168345.3029</v>
      </c>
      <c r="G368" s="8">
        <f t="shared" si="114"/>
        <v>3130.312658</v>
      </c>
      <c r="H368" s="8">
        <f t="shared" si="117"/>
        <v>181994.922</v>
      </c>
      <c r="I368" s="8">
        <f t="shared" si="115"/>
        <v>159245.5568</v>
      </c>
      <c r="J368" s="8">
        <v>135993.0</v>
      </c>
      <c r="K368" s="16">
        <v>211131.0</v>
      </c>
      <c r="L368" s="9"/>
    </row>
    <row r="369">
      <c r="A369" s="5" t="s">
        <v>13</v>
      </c>
      <c r="B369" s="6">
        <v>40.0</v>
      </c>
      <c r="C369" s="7">
        <v>200.0</v>
      </c>
      <c r="D369" s="8">
        <v>18947.0</v>
      </c>
      <c r="E369" s="8">
        <v>61850.0</v>
      </c>
      <c r="F369" s="8">
        <f t="shared" si="113"/>
        <v>225783.2075</v>
      </c>
      <c r="G369" s="8">
        <f t="shared" si="114"/>
        <v>4198.347209</v>
      </c>
      <c r="H369" s="8">
        <f t="shared" si="117"/>
        <v>244089.954</v>
      </c>
      <c r="I369" s="8">
        <f t="shared" si="115"/>
        <v>213578.7098</v>
      </c>
      <c r="J369" s="8">
        <v>181324.0</v>
      </c>
      <c r="K369" s="16">
        <v>283167.0</v>
      </c>
      <c r="L369" s="9"/>
    </row>
    <row r="370">
      <c r="A370" s="5" t="s">
        <v>13</v>
      </c>
      <c r="B370" s="6">
        <v>40.0</v>
      </c>
      <c r="C370" s="7">
        <v>300.0</v>
      </c>
      <c r="D370" s="11">
        <v>29628.0</v>
      </c>
      <c r="E370" s="11">
        <v>96572.0</v>
      </c>
      <c r="F370" s="12">
        <f t="shared" si="113"/>
        <v>344307.6903</v>
      </c>
      <c r="G370" s="12">
        <f t="shared" si="114"/>
        <v>6402.261916</v>
      </c>
      <c r="H370" s="12">
        <f t="shared" si="117"/>
        <v>372224.53</v>
      </c>
      <c r="I370" s="12">
        <f t="shared" si="115"/>
        <v>325696.4638</v>
      </c>
      <c r="J370" s="11">
        <v>271985.0</v>
      </c>
      <c r="K370" s="16">
        <v>431815.0</v>
      </c>
      <c r="L370" s="9"/>
    </row>
    <row r="371">
      <c r="A371" s="5" t="s">
        <v>13</v>
      </c>
      <c r="B371" s="6">
        <v>40.0</v>
      </c>
      <c r="C371" s="7">
        <v>400.0</v>
      </c>
      <c r="D371" s="11">
        <v>39841.0</v>
      </c>
      <c r="E371" s="11">
        <v>129758.0</v>
      </c>
      <c r="F371" s="12">
        <f t="shared" si="113"/>
        <v>460405.837</v>
      </c>
      <c r="G371" s="12">
        <f t="shared" si="114"/>
        <v>8561.059888</v>
      </c>
      <c r="H371" s="12">
        <f t="shared" si="117"/>
        <v>497736.04</v>
      </c>
      <c r="I371" s="12">
        <f t="shared" si="115"/>
        <v>435519.035</v>
      </c>
      <c r="J371" s="11">
        <v>362647.0</v>
      </c>
      <c r="K371" s="16">
        <v>577420.0</v>
      </c>
      <c r="L371" s="9"/>
    </row>
    <row r="372">
      <c r="A372" s="5" t="s">
        <v>13</v>
      </c>
      <c r="B372" s="6">
        <v>41.0</v>
      </c>
      <c r="C372" s="7">
        <v>50.0</v>
      </c>
      <c r="D372" s="8">
        <v>3539.0</v>
      </c>
      <c r="E372" s="8">
        <v>11995.0</v>
      </c>
      <c r="F372" s="8">
        <f t="shared" si="113"/>
        <v>54164.78285</v>
      </c>
      <c r="G372" s="8">
        <f t="shared" si="114"/>
        <v>1007.172178</v>
      </c>
      <c r="H372" s="8">
        <f t="shared" si="117"/>
        <v>58556.522</v>
      </c>
      <c r="I372" s="8">
        <f t="shared" si="115"/>
        <v>51236.95675</v>
      </c>
      <c r="J372" s="8">
        <v>50000.0</v>
      </c>
      <c r="K372" s="17">
        <v>67931.0</v>
      </c>
      <c r="L372" s="9"/>
    </row>
    <row r="373">
      <c r="A373" s="5" t="s">
        <v>13</v>
      </c>
      <c r="B373" s="6">
        <v>41.0</v>
      </c>
      <c r="C373" s="7">
        <v>100.0</v>
      </c>
      <c r="D373" s="8">
        <v>9010.0</v>
      </c>
      <c r="E373" s="8">
        <v>29297.0</v>
      </c>
      <c r="F373" s="8">
        <f t="shared" si="113"/>
        <v>103477.691</v>
      </c>
      <c r="G373" s="8">
        <f t="shared" si="114"/>
        <v>1924.125713</v>
      </c>
      <c r="H373" s="8">
        <f t="shared" si="117"/>
        <v>111867.774</v>
      </c>
      <c r="I373" s="8">
        <f t="shared" si="115"/>
        <v>97884.30225</v>
      </c>
      <c r="J373" s="8">
        <v>85616.0</v>
      </c>
      <c r="K373" s="17">
        <v>129777.0</v>
      </c>
      <c r="L373" s="9"/>
    </row>
    <row r="374">
      <c r="A374" s="5" t="s">
        <v>13</v>
      </c>
      <c r="B374" s="6">
        <v>41.0</v>
      </c>
      <c r="C374" s="7">
        <v>150.0</v>
      </c>
      <c r="D374" s="8">
        <v>14020.0</v>
      </c>
      <c r="E374" s="8">
        <v>45434.0</v>
      </c>
      <c r="F374" s="8">
        <f t="shared" si="113"/>
        <v>157037.2852</v>
      </c>
      <c r="G374" s="8">
        <f t="shared" si="114"/>
        <v>2920.044654</v>
      </c>
      <c r="H374" s="8">
        <f t="shared" si="117"/>
        <v>169770.038</v>
      </c>
      <c r="I374" s="8">
        <f t="shared" si="115"/>
        <v>148548.7833</v>
      </c>
      <c r="J374" s="8">
        <v>128425.0</v>
      </c>
      <c r="K374" s="17">
        <v>196949.0</v>
      </c>
      <c r="L374" s="9"/>
    </row>
    <row r="375">
      <c r="A375" s="5" t="s">
        <v>13</v>
      </c>
      <c r="B375" s="6">
        <v>41.0</v>
      </c>
      <c r="C375" s="7">
        <v>200.0</v>
      </c>
      <c r="D375" s="8">
        <v>19030.0</v>
      </c>
      <c r="E375" s="8">
        <v>61571.0</v>
      </c>
      <c r="F375" s="8">
        <f t="shared" si="113"/>
        <v>210596.8794</v>
      </c>
      <c r="G375" s="8">
        <f t="shared" si="114"/>
        <v>3915.963594</v>
      </c>
      <c r="H375" s="8">
        <f t="shared" si="117"/>
        <v>227672.302</v>
      </c>
      <c r="I375" s="8">
        <f t="shared" si="115"/>
        <v>199213.2643</v>
      </c>
      <c r="J375" s="8">
        <v>171233.0</v>
      </c>
      <c r="K375" s="17">
        <v>264121.0</v>
      </c>
      <c r="L375" s="9"/>
    </row>
    <row r="376">
      <c r="A376" s="5" t="s">
        <v>13</v>
      </c>
      <c r="B376" s="6">
        <v>41.0</v>
      </c>
      <c r="C376" s="7">
        <v>300.0</v>
      </c>
      <c r="D376" s="11">
        <v>29717.0</v>
      </c>
      <c r="E376" s="11">
        <v>96309.0</v>
      </c>
      <c r="F376" s="12">
        <f t="shared" si="113"/>
        <v>321308.9269</v>
      </c>
      <c r="G376" s="12">
        <f t="shared" si="114"/>
        <v>5974.609234</v>
      </c>
      <c r="H376" s="12">
        <f t="shared" si="117"/>
        <v>347361.002</v>
      </c>
      <c r="I376" s="12">
        <f t="shared" si="115"/>
        <v>303940.8768</v>
      </c>
      <c r="J376" s="11">
        <v>256849.0</v>
      </c>
      <c r="K376" s="17">
        <v>402971.0</v>
      </c>
      <c r="L376" s="9"/>
    </row>
    <row r="377">
      <c r="A377" s="5" t="s">
        <v>13</v>
      </c>
      <c r="B377" s="6">
        <v>41.0</v>
      </c>
      <c r="C377" s="7">
        <v>400.0</v>
      </c>
      <c r="D377" s="11">
        <v>39960.0</v>
      </c>
      <c r="E377" s="11">
        <v>129407.0</v>
      </c>
      <c r="F377" s="12">
        <f t="shared" si="113"/>
        <v>429631.3164</v>
      </c>
      <c r="G377" s="12">
        <f t="shared" si="114"/>
        <v>7988.820154</v>
      </c>
      <c r="H377" s="12">
        <f t="shared" si="117"/>
        <v>464466.288</v>
      </c>
      <c r="I377" s="12">
        <f t="shared" si="115"/>
        <v>406408.002</v>
      </c>
      <c r="J377" s="11">
        <v>342466.0</v>
      </c>
      <c r="K377" s="17">
        <v>538824.0</v>
      </c>
      <c r="L377" s="9"/>
    </row>
    <row r="378">
      <c r="A378" s="5" t="s">
        <v>13</v>
      </c>
      <c r="B378" s="6">
        <v>42.0</v>
      </c>
      <c r="C378" s="7">
        <v>50.0</v>
      </c>
      <c r="D378" s="8">
        <v>3384.0</v>
      </c>
      <c r="E378" s="8">
        <v>11465.0</v>
      </c>
      <c r="F378" s="8">
        <f t="shared" si="113"/>
        <v>52427.3572</v>
      </c>
      <c r="G378" s="8">
        <f t="shared" si="114"/>
        <v>974.8654528</v>
      </c>
      <c r="H378" s="8">
        <f t="shared" si="117"/>
        <v>56678.224</v>
      </c>
      <c r="I378" s="8">
        <f t="shared" si="115"/>
        <v>49593.446</v>
      </c>
      <c r="J378" s="8">
        <v>50000.0</v>
      </c>
      <c r="K378" s="16">
        <v>65752.0</v>
      </c>
      <c r="L378" s="9"/>
    </row>
    <row r="379">
      <c r="A379" s="5" t="s">
        <v>13</v>
      </c>
      <c r="B379" s="6">
        <v>42.0</v>
      </c>
      <c r="C379" s="7">
        <v>100.0</v>
      </c>
      <c r="D379" s="8">
        <v>9046.0</v>
      </c>
      <c r="E379" s="15">
        <v>29170.0</v>
      </c>
      <c r="F379" s="8">
        <f t="shared" si="113"/>
        <v>96966.53085</v>
      </c>
      <c r="G379" s="8">
        <f t="shared" si="114"/>
        <v>1803.05333</v>
      </c>
      <c r="H379" s="8">
        <f t="shared" si="117"/>
        <v>104828.682</v>
      </c>
      <c r="I379" s="8">
        <f t="shared" si="115"/>
        <v>91725.09675</v>
      </c>
      <c r="J379" s="8">
        <v>81103.0</v>
      </c>
      <c r="K379" s="16">
        <v>121611.0</v>
      </c>
      <c r="L379" s="9"/>
    </row>
    <row r="380">
      <c r="A380" s="5" t="s">
        <v>13</v>
      </c>
      <c r="B380" s="6">
        <v>42.0</v>
      </c>
      <c r="C380" s="7">
        <v>150.0</v>
      </c>
      <c r="D380" s="8">
        <v>14074.0</v>
      </c>
      <c r="E380" s="8">
        <v>45243.0</v>
      </c>
      <c r="F380" s="8">
        <f t="shared" si="113"/>
        <v>147125.4273</v>
      </c>
      <c r="G380" s="8">
        <f t="shared" si="114"/>
        <v>2735.737675</v>
      </c>
      <c r="H380" s="8">
        <f t="shared" si="117"/>
        <v>159054.516</v>
      </c>
      <c r="I380" s="8">
        <f t="shared" si="115"/>
        <v>139172.7015</v>
      </c>
      <c r="J380" s="8">
        <v>121654.0</v>
      </c>
      <c r="K380" s="16">
        <v>184518.0</v>
      </c>
      <c r="L380" s="9"/>
    </row>
    <row r="381">
      <c r="A381" s="5" t="s">
        <v>13</v>
      </c>
      <c r="B381" s="6">
        <v>42.0</v>
      </c>
      <c r="C381" s="7">
        <v>200.0</v>
      </c>
      <c r="D381" s="8">
        <v>19102.0</v>
      </c>
      <c r="E381" s="8">
        <v>61316.0</v>
      </c>
      <c r="F381" s="8">
        <f t="shared" si="113"/>
        <v>197285.9185</v>
      </c>
      <c r="G381" s="8">
        <f t="shared" si="114"/>
        <v>3668.451673</v>
      </c>
      <c r="H381" s="8">
        <f t="shared" si="117"/>
        <v>213282.074</v>
      </c>
      <c r="I381" s="8">
        <f t="shared" si="115"/>
        <v>186621.8148</v>
      </c>
      <c r="J381" s="8">
        <v>162206.0</v>
      </c>
      <c r="K381" s="16">
        <v>247427.0</v>
      </c>
      <c r="L381" s="9"/>
    </row>
    <row r="382">
      <c r="A382" s="5" t="s">
        <v>13</v>
      </c>
      <c r="B382" s="6">
        <v>42.0</v>
      </c>
      <c r="C382" s="7">
        <v>300.0</v>
      </c>
      <c r="D382" s="11">
        <v>29205.0</v>
      </c>
      <c r="E382" s="11">
        <v>93771.0</v>
      </c>
      <c r="F382" s="12">
        <f t="shared" si="113"/>
        <v>298039.8618</v>
      </c>
      <c r="G382" s="12">
        <f t="shared" si="114"/>
        <v>5541.930403</v>
      </c>
      <c r="H382" s="12">
        <f t="shared" si="117"/>
        <v>322205.256</v>
      </c>
      <c r="I382" s="12">
        <f t="shared" si="115"/>
        <v>281929.599</v>
      </c>
      <c r="J382" s="11">
        <v>243309.0</v>
      </c>
      <c r="K382" s="16">
        <v>373788.0</v>
      </c>
      <c r="L382" s="9"/>
    </row>
    <row r="383">
      <c r="A383" s="5" t="s">
        <v>13</v>
      </c>
      <c r="B383" s="6">
        <v>42.0</v>
      </c>
      <c r="C383" s="7">
        <v>400.0</v>
      </c>
      <c r="D383" s="11">
        <v>40066.0</v>
      </c>
      <c r="E383" s="11">
        <v>129093.0</v>
      </c>
      <c r="F383" s="12">
        <f t="shared" si="113"/>
        <v>402549.3237</v>
      </c>
      <c r="G383" s="12">
        <f t="shared" si="114"/>
        <v>7485.241478</v>
      </c>
      <c r="H383" s="12">
        <f t="shared" si="117"/>
        <v>435188.458</v>
      </c>
      <c r="I383" s="12">
        <f t="shared" si="115"/>
        <v>380789.9008</v>
      </c>
      <c r="J383" s="11">
        <v>324412.0</v>
      </c>
      <c r="K383" s="16">
        <v>504859.0</v>
      </c>
      <c r="L383" s="9"/>
    </row>
    <row r="384">
      <c r="A384" s="5" t="s">
        <v>13</v>
      </c>
      <c r="B384" s="6">
        <v>43.0</v>
      </c>
      <c r="C384" s="7">
        <v>50.0</v>
      </c>
      <c r="D384" s="8">
        <v>3229.0</v>
      </c>
      <c r="E384" s="8">
        <v>10937.0</v>
      </c>
      <c r="F384" s="8">
        <f t="shared" si="113"/>
        <v>50897.24255</v>
      </c>
      <c r="G384" s="8">
        <f t="shared" si="114"/>
        <v>946.4135912</v>
      </c>
      <c r="H384" s="8">
        <f t="shared" si="117"/>
        <v>55024.046</v>
      </c>
      <c r="I384" s="8">
        <f t="shared" si="115"/>
        <v>48146.04025</v>
      </c>
      <c r="J384" s="8">
        <v>50000.0</v>
      </c>
      <c r="K384" s="17">
        <v>63833.0</v>
      </c>
      <c r="L384" s="9"/>
    </row>
    <row r="385">
      <c r="A385" s="5" t="s">
        <v>13</v>
      </c>
      <c r="B385" s="6">
        <v>43.0</v>
      </c>
      <c r="C385" s="7">
        <v>100.0</v>
      </c>
      <c r="D385" s="8">
        <v>9079.0</v>
      </c>
      <c r="E385" s="8">
        <v>29058.0</v>
      </c>
      <c r="F385" s="8">
        <f t="shared" si="113"/>
        <v>91082.08785</v>
      </c>
      <c r="G385" s="8">
        <f t="shared" si="114"/>
        <v>1693.634498</v>
      </c>
      <c r="H385" s="8">
        <f t="shared" si="117"/>
        <v>98467.122</v>
      </c>
      <c r="I385" s="8">
        <f t="shared" si="115"/>
        <v>86158.73175</v>
      </c>
      <c r="J385" s="8">
        <v>77041.0</v>
      </c>
      <c r="K385" s="17">
        <v>114231.0</v>
      </c>
      <c r="L385" s="9"/>
    </row>
    <row r="386">
      <c r="A386" s="5" t="s">
        <v>13</v>
      </c>
      <c r="B386" s="6">
        <v>43.0</v>
      </c>
      <c r="C386" s="7">
        <v>150.0</v>
      </c>
      <c r="D386" s="8">
        <v>14124.0</v>
      </c>
      <c r="E386" s="8">
        <v>45075.0</v>
      </c>
      <c r="F386" s="8">
        <f t="shared" si="113"/>
        <v>138164.808</v>
      </c>
      <c r="G386" s="8">
        <f t="shared" si="114"/>
        <v>2569.118592</v>
      </c>
      <c r="H386" s="8">
        <f t="shared" si="117"/>
        <v>149367.36</v>
      </c>
      <c r="I386" s="8">
        <f t="shared" si="115"/>
        <v>130696.44</v>
      </c>
      <c r="J386" s="8">
        <v>115562.0</v>
      </c>
      <c r="K386" s="17">
        <v>173280.0</v>
      </c>
      <c r="L386" s="9"/>
    </row>
    <row r="387">
      <c r="A387" s="5" t="s">
        <v>13</v>
      </c>
      <c r="B387" s="6">
        <v>43.0</v>
      </c>
      <c r="C387" s="7">
        <v>200.0</v>
      </c>
      <c r="D387" s="8">
        <v>19169.0</v>
      </c>
      <c r="E387" s="8">
        <v>61091.0</v>
      </c>
      <c r="F387" s="8">
        <f t="shared" si="113"/>
        <v>185247.5282</v>
      </c>
      <c r="G387" s="8">
        <f t="shared" si="114"/>
        <v>3444.602686</v>
      </c>
      <c r="H387" s="8">
        <f t="shared" si="117"/>
        <v>200267.598</v>
      </c>
      <c r="I387" s="8">
        <f t="shared" si="115"/>
        <v>175234.1483</v>
      </c>
      <c r="J387" s="8">
        <v>154083.0</v>
      </c>
      <c r="K387" s="17">
        <v>232329.0</v>
      </c>
      <c r="L387" s="9"/>
    </row>
    <row r="388">
      <c r="A388" s="5" t="s">
        <v>13</v>
      </c>
      <c r="B388" s="6">
        <v>43.0</v>
      </c>
      <c r="C388" s="7">
        <v>300.0</v>
      </c>
      <c r="D388" s="11">
        <v>29306.0</v>
      </c>
      <c r="E388" s="11">
        <v>93435.0</v>
      </c>
      <c r="F388" s="12">
        <f t="shared" si="113"/>
        <v>279792.5071</v>
      </c>
      <c r="G388" s="12">
        <f t="shared" si="114"/>
        <v>5202.628239</v>
      </c>
      <c r="H388" s="12">
        <f t="shared" si="117"/>
        <v>302478.386</v>
      </c>
      <c r="I388" s="12">
        <f t="shared" si="115"/>
        <v>264668.5878</v>
      </c>
      <c r="J388" s="11">
        <v>231125.0</v>
      </c>
      <c r="K388" s="17">
        <v>350903.0</v>
      </c>
      <c r="L388" s="9"/>
    </row>
    <row r="389">
      <c r="A389" s="5" t="s">
        <v>13</v>
      </c>
      <c r="B389" s="6">
        <v>43.0</v>
      </c>
      <c r="C389" s="7">
        <v>400.0</v>
      </c>
      <c r="D389" s="11">
        <v>40157.0</v>
      </c>
      <c r="E389" s="11">
        <v>128800.0</v>
      </c>
      <c r="F389" s="12">
        <f t="shared" si="113"/>
        <v>377918.3848</v>
      </c>
      <c r="G389" s="12">
        <f t="shared" si="114"/>
        <v>7027.239155</v>
      </c>
      <c r="H389" s="12">
        <f t="shared" si="117"/>
        <v>408560.416</v>
      </c>
      <c r="I389" s="12">
        <f t="shared" si="115"/>
        <v>357490.364</v>
      </c>
      <c r="J389" s="11">
        <v>308166.0</v>
      </c>
      <c r="K389" s="17">
        <v>473968.0</v>
      </c>
      <c r="L389" s="9"/>
    </row>
    <row r="390">
      <c r="A390" s="5" t="s">
        <v>13</v>
      </c>
      <c r="B390" s="6">
        <v>44.0</v>
      </c>
      <c r="C390" s="7">
        <v>50.0</v>
      </c>
      <c r="D390" s="8">
        <v>3073.0</v>
      </c>
      <c r="E390" s="8">
        <v>10408.0</v>
      </c>
      <c r="F390" s="8">
        <f t="shared" si="113"/>
        <v>49548.9237</v>
      </c>
      <c r="G390" s="8">
        <f t="shared" si="114"/>
        <v>921.3421488</v>
      </c>
      <c r="H390" s="8">
        <f t="shared" si="117"/>
        <v>53566.404</v>
      </c>
      <c r="I390" s="8">
        <f t="shared" si="115"/>
        <v>46870.6035</v>
      </c>
      <c r="J390" s="8">
        <v>50000.0</v>
      </c>
      <c r="K390" s="16">
        <v>62142.0</v>
      </c>
      <c r="L390" s="9"/>
    </row>
    <row r="391">
      <c r="A391" s="5" t="s">
        <v>13</v>
      </c>
      <c r="B391" s="6">
        <v>44.0</v>
      </c>
      <c r="C391" s="7">
        <v>100.0</v>
      </c>
      <c r="D391" s="8">
        <v>9109.0</v>
      </c>
      <c r="E391" s="15">
        <v>28954.0</v>
      </c>
      <c r="F391" s="8">
        <f t="shared" si="113"/>
        <v>85729.4773</v>
      </c>
      <c r="G391" s="8">
        <f t="shared" si="114"/>
        <v>1594.104875</v>
      </c>
      <c r="H391" s="8">
        <f t="shared" si="117"/>
        <v>92680.516</v>
      </c>
      <c r="I391" s="8">
        <f t="shared" si="115"/>
        <v>81095.4515</v>
      </c>
      <c r="J391" s="8">
        <v>73367.0</v>
      </c>
      <c r="K391" s="16">
        <v>107518.0</v>
      </c>
      <c r="L391" s="9"/>
    </row>
    <row r="392">
      <c r="A392" s="5" t="s">
        <v>13</v>
      </c>
      <c r="B392" s="6">
        <v>44.0</v>
      </c>
      <c r="C392" s="7">
        <v>150.0</v>
      </c>
      <c r="D392" s="8">
        <v>14168.0</v>
      </c>
      <c r="E392" s="8">
        <v>44919.0</v>
      </c>
      <c r="F392" s="8">
        <f t="shared" si="113"/>
        <v>130010.3096</v>
      </c>
      <c r="G392" s="8">
        <f t="shared" si="114"/>
        <v>2417.488999</v>
      </c>
      <c r="H392" s="8">
        <f t="shared" si="117"/>
        <v>140551.686</v>
      </c>
      <c r="I392" s="8">
        <f t="shared" si="115"/>
        <v>122982.7253</v>
      </c>
      <c r="J392" s="8">
        <v>110051.0</v>
      </c>
      <c r="K392" s="16">
        <v>163053.0</v>
      </c>
      <c r="L392" s="9"/>
    </row>
    <row r="393">
      <c r="A393" s="5" t="s">
        <v>13</v>
      </c>
      <c r="B393" s="6">
        <v>44.0</v>
      </c>
      <c r="C393" s="7">
        <v>200.0</v>
      </c>
      <c r="D393" s="8">
        <v>19228.0</v>
      </c>
      <c r="E393" s="8">
        <v>60884.0</v>
      </c>
      <c r="F393" s="8">
        <f t="shared" si="113"/>
        <v>174291.1418</v>
      </c>
      <c r="G393" s="8">
        <f t="shared" si="114"/>
        <v>3240.873123</v>
      </c>
      <c r="H393" s="8">
        <f t="shared" si="117"/>
        <v>188422.856</v>
      </c>
      <c r="I393" s="8">
        <f t="shared" si="115"/>
        <v>164869.999</v>
      </c>
      <c r="J393" s="8">
        <v>146735.0</v>
      </c>
      <c r="K393" s="16">
        <v>218588.0</v>
      </c>
      <c r="L393" s="9"/>
    </row>
    <row r="394">
      <c r="A394" s="5" t="s">
        <v>13</v>
      </c>
      <c r="B394" s="6">
        <v>44.0</v>
      </c>
      <c r="C394" s="7">
        <v>300.0</v>
      </c>
      <c r="D394" s="11">
        <v>29394.0</v>
      </c>
      <c r="E394" s="11">
        <v>93124.0</v>
      </c>
      <c r="F394" s="12">
        <f t="shared" si="113"/>
        <v>263182.9092</v>
      </c>
      <c r="G394" s="12">
        <f t="shared" si="114"/>
        <v>4893.779501</v>
      </c>
      <c r="H394" s="12">
        <f t="shared" si="117"/>
        <v>284522.064</v>
      </c>
      <c r="I394" s="12">
        <f t="shared" si="115"/>
        <v>248956.806</v>
      </c>
      <c r="J394" s="11">
        <v>220103.0</v>
      </c>
      <c r="K394" s="16">
        <v>330072.0</v>
      </c>
      <c r="L394" s="9"/>
    </row>
    <row r="395">
      <c r="A395" s="5" t="s">
        <v>13</v>
      </c>
      <c r="B395" s="6">
        <v>44.0</v>
      </c>
      <c r="C395" s="7">
        <v>400.0</v>
      </c>
      <c r="D395" s="11">
        <v>40244.0</v>
      </c>
      <c r="E395" s="11">
        <v>128545.0</v>
      </c>
      <c r="F395" s="12">
        <f t="shared" si="113"/>
        <v>355425.9387</v>
      </c>
      <c r="G395" s="12">
        <f t="shared" si="114"/>
        <v>6609.001238</v>
      </c>
      <c r="H395" s="12">
        <f t="shared" si="117"/>
        <v>384244.258</v>
      </c>
      <c r="I395" s="12">
        <f t="shared" si="115"/>
        <v>336213.7258</v>
      </c>
      <c r="J395" s="11">
        <v>293470.0</v>
      </c>
      <c r="K395" s="16">
        <v>445759.0</v>
      </c>
      <c r="L395" s="9"/>
    </row>
    <row r="396">
      <c r="A396" s="5" t="s">
        <v>13</v>
      </c>
      <c r="B396" s="6">
        <v>45.0</v>
      </c>
      <c r="C396" s="7">
        <v>50.0</v>
      </c>
      <c r="D396" s="8">
        <v>2918.0</v>
      </c>
      <c r="E396" s="8">
        <v>9880.0</v>
      </c>
      <c r="F396" s="8">
        <f t="shared" si="113"/>
        <v>48365.6563</v>
      </c>
      <c r="G396" s="8">
        <f t="shared" si="114"/>
        <v>899.3397712</v>
      </c>
      <c r="H396" s="8">
        <f t="shared" si="117"/>
        <v>52287.196</v>
      </c>
      <c r="I396" s="8">
        <f t="shared" si="115"/>
        <v>45751.2965</v>
      </c>
      <c r="J396" s="8">
        <v>50000.0</v>
      </c>
      <c r="K396" s="17">
        <v>60658.0</v>
      </c>
      <c r="L396" s="9"/>
    </row>
    <row r="397">
      <c r="A397" s="5" t="s">
        <v>13</v>
      </c>
      <c r="B397" s="6">
        <v>45.0</v>
      </c>
      <c r="C397" s="7">
        <v>100.0</v>
      </c>
      <c r="D397" s="8">
        <v>9136.0</v>
      </c>
      <c r="E397" s="8">
        <v>28862.0</v>
      </c>
      <c r="F397" s="8">
        <f t="shared" si="113"/>
        <v>80840.92445</v>
      </c>
      <c r="G397" s="8">
        <f t="shared" si="114"/>
        <v>1503.204217</v>
      </c>
      <c r="H397" s="8">
        <f t="shared" si="117"/>
        <v>87395.594</v>
      </c>
      <c r="I397" s="8">
        <f t="shared" si="115"/>
        <v>76471.14475</v>
      </c>
      <c r="J397" s="8">
        <v>70028.0</v>
      </c>
      <c r="K397" s="17">
        <v>101387.0</v>
      </c>
      <c r="L397" s="9"/>
    </row>
    <row r="398">
      <c r="A398" s="5" t="s">
        <v>13</v>
      </c>
      <c r="B398" s="6">
        <v>45.0</v>
      </c>
      <c r="C398" s="7">
        <v>150.0</v>
      </c>
      <c r="D398" s="8">
        <v>14210.0</v>
      </c>
      <c r="E398" s="8">
        <v>44781.0</v>
      </c>
      <c r="F398" s="8">
        <f t="shared" si="113"/>
        <v>122559.0738</v>
      </c>
      <c r="G398" s="8">
        <f t="shared" si="114"/>
        <v>2278.936291</v>
      </c>
      <c r="H398" s="8">
        <f t="shared" si="117"/>
        <v>132496.296</v>
      </c>
      <c r="I398" s="8">
        <f t="shared" si="115"/>
        <v>115934.259</v>
      </c>
      <c r="J398" s="8">
        <v>105042.0</v>
      </c>
      <c r="K398" s="17">
        <v>153708.0</v>
      </c>
      <c r="L398" s="9"/>
    </row>
    <row r="399">
      <c r="A399" s="5" t="s">
        <v>13</v>
      </c>
      <c r="B399" s="6">
        <v>45.0</v>
      </c>
      <c r="C399" s="7">
        <v>200.0</v>
      </c>
      <c r="D399" s="8">
        <v>19283.0</v>
      </c>
      <c r="E399" s="8">
        <v>60700.0</v>
      </c>
      <c r="F399" s="8">
        <f t="shared" si="113"/>
        <v>164277.2232</v>
      </c>
      <c r="G399" s="8">
        <f t="shared" si="114"/>
        <v>3054.668366</v>
      </c>
      <c r="H399" s="8">
        <f t="shared" si="117"/>
        <v>177596.998</v>
      </c>
      <c r="I399" s="8">
        <f t="shared" si="115"/>
        <v>155397.3733</v>
      </c>
      <c r="J399" s="8">
        <v>140056.0</v>
      </c>
      <c r="K399" s="17">
        <v>206029.0</v>
      </c>
      <c r="L399" s="9"/>
    </row>
    <row r="400">
      <c r="A400" s="5" t="s">
        <v>13</v>
      </c>
      <c r="B400" s="6">
        <v>45.0</v>
      </c>
      <c r="C400" s="7">
        <v>300.0</v>
      </c>
      <c r="D400" s="11">
        <v>29477.0</v>
      </c>
      <c r="E400" s="11">
        <v>92848.0</v>
      </c>
      <c r="F400" s="12">
        <f t="shared" si="113"/>
        <v>247999.7705</v>
      </c>
      <c r="G400" s="12">
        <f t="shared" si="114"/>
        <v>4611.455192</v>
      </c>
      <c r="H400" s="12">
        <f t="shared" si="117"/>
        <v>268107.86</v>
      </c>
      <c r="I400" s="12">
        <f t="shared" si="115"/>
        <v>234594.3775</v>
      </c>
      <c r="J400" s="11">
        <v>210084.0</v>
      </c>
      <c r="K400" s="17">
        <v>311030.0</v>
      </c>
      <c r="L400" s="9"/>
    </row>
    <row r="401">
      <c r="A401" s="5" t="s">
        <v>13</v>
      </c>
      <c r="B401" s="6">
        <v>45.0</v>
      </c>
      <c r="C401" s="7">
        <v>400.0</v>
      </c>
      <c r="D401" s="11">
        <v>40318.0</v>
      </c>
      <c r="E401" s="11">
        <v>128304.0</v>
      </c>
      <c r="F401" s="12">
        <f t="shared" si="113"/>
        <v>334777.7631</v>
      </c>
      <c r="G401" s="12">
        <f t="shared" si="114"/>
        <v>6225.056783</v>
      </c>
      <c r="H401" s="12">
        <f t="shared" si="117"/>
        <v>361921.906</v>
      </c>
      <c r="I401" s="12">
        <f t="shared" si="115"/>
        <v>316681.6678</v>
      </c>
      <c r="J401" s="11">
        <v>280112.0</v>
      </c>
      <c r="K401" s="17">
        <v>419863.0</v>
      </c>
      <c r="L401" s="9"/>
    </row>
    <row r="402">
      <c r="A402" s="5" t="s">
        <v>13</v>
      </c>
      <c r="B402" s="6">
        <v>46.0</v>
      </c>
      <c r="C402" s="7">
        <v>50.0</v>
      </c>
      <c r="D402" s="8">
        <v>2568.0</v>
      </c>
      <c r="E402" s="8">
        <v>8845.0</v>
      </c>
      <c r="F402" s="8">
        <f t="shared" si="113"/>
        <v>46920.06075</v>
      </c>
      <c r="G402" s="8">
        <f t="shared" si="114"/>
        <v>872.459508</v>
      </c>
      <c r="H402" s="8">
        <f t="shared" si="117"/>
        <v>50724.39</v>
      </c>
      <c r="I402" s="8">
        <f t="shared" si="115"/>
        <v>44383.84125</v>
      </c>
      <c r="J402" s="8">
        <v>50000.0</v>
      </c>
      <c r="K402" s="16">
        <v>58845.0</v>
      </c>
      <c r="L402" s="9"/>
    </row>
    <row r="403">
      <c r="A403" s="5" t="s">
        <v>13</v>
      </c>
      <c r="B403" s="6">
        <v>46.0</v>
      </c>
      <c r="C403" s="7">
        <v>100.0</v>
      </c>
      <c r="D403" s="8">
        <v>9014.0</v>
      </c>
      <c r="E403" s="8">
        <v>28405.0</v>
      </c>
      <c r="F403" s="8">
        <f t="shared" si="113"/>
        <v>74968.4417</v>
      </c>
      <c r="G403" s="8">
        <f t="shared" si="114"/>
        <v>1394.007781</v>
      </c>
      <c r="H403" s="8">
        <f t="shared" si="117"/>
        <v>81046.964</v>
      </c>
      <c r="I403" s="8">
        <f t="shared" si="115"/>
        <v>70916.0935</v>
      </c>
      <c r="J403" s="8">
        <v>65617.0</v>
      </c>
      <c r="K403" s="16">
        <v>94022.0</v>
      </c>
      <c r="L403" s="9"/>
    </row>
    <row r="404">
      <c r="A404" s="5" t="s">
        <v>13</v>
      </c>
      <c r="B404" s="6">
        <v>46.0</v>
      </c>
      <c r="C404" s="7">
        <v>150.0</v>
      </c>
      <c r="D404" s="8">
        <v>14026.0</v>
      </c>
      <c r="E404" s="8">
        <v>44097.0</v>
      </c>
      <c r="F404" s="8">
        <f t="shared" si="113"/>
        <v>113639.9167</v>
      </c>
      <c r="G404" s="8">
        <f t="shared" si="114"/>
        <v>2113.088181</v>
      </c>
      <c r="H404" s="8">
        <f t="shared" si="117"/>
        <v>122853.964</v>
      </c>
      <c r="I404" s="8">
        <f t="shared" si="115"/>
        <v>107497.2185</v>
      </c>
      <c r="J404" s="8">
        <v>98425.0</v>
      </c>
      <c r="K404" s="16">
        <v>142522.0</v>
      </c>
      <c r="L404" s="9"/>
    </row>
    <row r="405">
      <c r="A405" s="5" t="s">
        <v>13</v>
      </c>
      <c r="B405" s="6">
        <v>46.0</v>
      </c>
      <c r="C405" s="7">
        <v>200.0</v>
      </c>
      <c r="D405" s="8">
        <v>19039.0</v>
      </c>
      <c r="E405" s="8">
        <v>59788.0</v>
      </c>
      <c r="F405" s="8">
        <f t="shared" si="113"/>
        <v>152310.5944</v>
      </c>
      <c r="G405" s="8">
        <f t="shared" si="114"/>
        <v>2832.153754</v>
      </c>
      <c r="H405" s="8">
        <f t="shared" si="117"/>
        <v>164660.102</v>
      </c>
      <c r="I405" s="8">
        <f t="shared" si="115"/>
        <v>144077.5893</v>
      </c>
      <c r="J405" s="8">
        <v>131233.0</v>
      </c>
      <c r="K405" s="16">
        <v>191021.0</v>
      </c>
      <c r="L405" s="9"/>
    </row>
    <row r="406">
      <c r="A406" s="5" t="s">
        <v>13</v>
      </c>
      <c r="B406" s="6">
        <v>46.0</v>
      </c>
      <c r="C406" s="7">
        <v>300.0</v>
      </c>
      <c r="D406" s="11">
        <v>29110.0</v>
      </c>
      <c r="E406" s="11">
        <v>91476.0</v>
      </c>
      <c r="F406" s="12">
        <f t="shared" si="113"/>
        <v>229896.7361</v>
      </c>
      <c r="G406" s="12">
        <f t="shared" si="114"/>
        <v>4274.836606</v>
      </c>
      <c r="H406" s="12">
        <f t="shared" si="117"/>
        <v>248537.012</v>
      </c>
      <c r="I406" s="12">
        <f t="shared" si="115"/>
        <v>217469.8855</v>
      </c>
      <c r="J406" s="11">
        <v>196850.0</v>
      </c>
      <c r="K406" s="16">
        <v>288326.0</v>
      </c>
      <c r="L406" s="9"/>
    </row>
    <row r="407">
      <c r="A407" s="5" t="s">
        <v>13</v>
      </c>
      <c r="B407" s="6">
        <v>46.0</v>
      </c>
      <c r="C407" s="7">
        <v>400.0</v>
      </c>
      <c r="D407" s="11">
        <v>39871.0</v>
      </c>
      <c r="E407" s="11">
        <v>126622.0</v>
      </c>
      <c r="F407" s="12">
        <f t="shared" si="113"/>
        <v>310240.1142</v>
      </c>
      <c r="G407" s="12">
        <f t="shared" si="114"/>
        <v>5768.78915</v>
      </c>
      <c r="H407" s="12">
        <f t="shared" si="117"/>
        <v>335394.718</v>
      </c>
      <c r="I407" s="12">
        <f t="shared" si="115"/>
        <v>293470.3783</v>
      </c>
      <c r="J407" s="11">
        <v>262467.0</v>
      </c>
      <c r="K407" s="16">
        <v>389089.0</v>
      </c>
      <c r="L407" s="9"/>
    </row>
    <row r="408">
      <c r="A408" s="5" t="s">
        <v>13</v>
      </c>
      <c r="B408" s="6">
        <v>47.0</v>
      </c>
      <c r="C408" s="7">
        <v>50.0</v>
      </c>
      <c r="D408" s="8">
        <v>2218.0</v>
      </c>
      <c r="E408" s="8">
        <v>7810.0</v>
      </c>
      <c r="F408" s="8">
        <f t="shared" si="113"/>
        <v>45649.8822</v>
      </c>
      <c r="G408" s="8">
        <f t="shared" si="114"/>
        <v>848.8410528</v>
      </c>
      <c r="H408" s="8">
        <f t="shared" si="117"/>
        <v>49351.224</v>
      </c>
      <c r="I408" s="8">
        <f t="shared" si="115"/>
        <v>43182.321</v>
      </c>
      <c r="J408" s="8">
        <v>50000.0</v>
      </c>
      <c r="K408" s="17">
        <v>57252.0</v>
      </c>
      <c r="L408" s="9"/>
    </row>
    <row r="409">
      <c r="A409" s="5" t="s">
        <v>13</v>
      </c>
      <c r="B409" s="6">
        <v>47.0</v>
      </c>
      <c r="C409" s="7">
        <v>100.0</v>
      </c>
      <c r="D409" s="8">
        <v>8903.0</v>
      </c>
      <c r="E409" s="8">
        <v>27994.0</v>
      </c>
      <c r="F409" s="8">
        <f t="shared" si="113"/>
        <v>69736.231</v>
      </c>
      <c r="G409" s="8">
        <f t="shared" si="114"/>
        <v>1296.716944</v>
      </c>
      <c r="H409" s="8">
        <f t="shared" si="117"/>
        <v>75390.52</v>
      </c>
      <c r="I409" s="8">
        <f t="shared" si="115"/>
        <v>65966.705</v>
      </c>
      <c r="J409" s="8">
        <v>61766.0</v>
      </c>
      <c r="K409" s="17">
        <v>87460.0</v>
      </c>
      <c r="L409" s="9"/>
    </row>
    <row r="410">
      <c r="A410" s="5" t="s">
        <v>13</v>
      </c>
      <c r="B410" s="6">
        <v>47.0</v>
      </c>
      <c r="C410" s="7">
        <v>150.0</v>
      </c>
      <c r="D410" s="8">
        <v>13859.0</v>
      </c>
      <c r="E410" s="8">
        <v>43480.0</v>
      </c>
      <c r="F410" s="8">
        <f t="shared" si="113"/>
        <v>105687.9452</v>
      </c>
      <c r="G410" s="8">
        <f t="shared" si="114"/>
        <v>1965.224494</v>
      </c>
      <c r="H410" s="8">
        <f t="shared" si="117"/>
        <v>114257.238</v>
      </c>
      <c r="I410" s="8">
        <f t="shared" si="115"/>
        <v>99975.08325</v>
      </c>
      <c r="J410" s="8">
        <v>92650.0</v>
      </c>
      <c r="K410" s="17">
        <v>132549.0</v>
      </c>
      <c r="L410" s="9"/>
    </row>
    <row r="411">
      <c r="A411" s="5" t="s">
        <v>13</v>
      </c>
      <c r="B411" s="6">
        <v>47.0</v>
      </c>
      <c r="C411" s="7">
        <v>200.0</v>
      </c>
      <c r="D411" s="8">
        <v>18816.0</v>
      </c>
      <c r="E411" s="8">
        <v>58965.0</v>
      </c>
      <c r="F411" s="8">
        <f t="shared" si="113"/>
        <v>141638.862</v>
      </c>
      <c r="G411" s="8">
        <f t="shared" si="114"/>
        <v>2633.717217</v>
      </c>
      <c r="H411" s="8">
        <f t="shared" si="117"/>
        <v>153123.094</v>
      </c>
      <c r="I411" s="8">
        <f t="shared" si="115"/>
        <v>133982.7073</v>
      </c>
      <c r="J411" s="8">
        <v>123533.0</v>
      </c>
      <c r="K411" s="17">
        <v>177637.0</v>
      </c>
      <c r="L411" s="9"/>
    </row>
    <row r="412">
      <c r="A412" s="5" t="s">
        <v>13</v>
      </c>
      <c r="B412" s="6">
        <v>47.0</v>
      </c>
      <c r="C412" s="7">
        <v>300.0</v>
      </c>
      <c r="D412" s="11">
        <v>28776.0</v>
      </c>
      <c r="E412" s="11">
        <v>90239.0</v>
      </c>
      <c r="F412" s="12">
        <f t="shared" si="113"/>
        <v>213748.8039</v>
      </c>
      <c r="G412" s="12">
        <f t="shared" si="114"/>
        <v>3974.572354</v>
      </c>
      <c r="H412" s="12">
        <f t="shared" si="117"/>
        <v>231079.788</v>
      </c>
      <c r="I412" s="12">
        <f t="shared" si="115"/>
        <v>202194.8145</v>
      </c>
      <c r="J412" s="11">
        <v>185299.0</v>
      </c>
      <c r="K412" s="17">
        <v>268074.0</v>
      </c>
      <c r="L412" s="9"/>
    </row>
    <row r="413">
      <c r="A413" s="5" t="s">
        <v>13</v>
      </c>
      <c r="B413" s="6">
        <v>47.0</v>
      </c>
      <c r="C413" s="7">
        <v>400.0</v>
      </c>
      <c r="D413" s="11">
        <v>38705.0</v>
      </c>
      <c r="E413" s="11">
        <v>121314.0</v>
      </c>
      <c r="F413" s="12">
        <f t="shared" si="113"/>
        <v>285723.1964</v>
      </c>
      <c r="G413" s="12">
        <f t="shared" si="114"/>
        <v>5312.907002</v>
      </c>
      <c r="H413" s="12">
        <f t="shared" si="117"/>
        <v>308889.942</v>
      </c>
      <c r="I413" s="12">
        <f t="shared" si="115"/>
        <v>270278.6993</v>
      </c>
      <c r="J413" s="11">
        <v>247066.0</v>
      </c>
      <c r="K413" s="17">
        <v>358341.0</v>
      </c>
      <c r="L413" s="9"/>
    </row>
    <row r="414">
      <c r="A414" s="5" t="s">
        <v>13</v>
      </c>
      <c r="B414" s="6">
        <v>48.0</v>
      </c>
      <c r="C414" s="7">
        <v>50.0</v>
      </c>
      <c r="D414" s="8">
        <v>1868.0</v>
      </c>
      <c r="E414" s="10">
        <v>6776.0</v>
      </c>
      <c r="F414" s="8">
        <f t="shared" si="113"/>
        <v>44527.2134</v>
      </c>
      <c r="G414" s="8">
        <f t="shared" si="114"/>
        <v>827.9654816</v>
      </c>
      <c r="H414" s="8">
        <f t="shared" si="117"/>
        <v>48137.528</v>
      </c>
      <c r="I414" s="8">
        <f t="shared" si="115"/>
        <v>42120.337</v>
      </c>
      <c r="J414" s="8">
        <v>50000.0</v>
      </c>
      <c r="K414" s="16">
        <v>55844.0</v>
      </c>
      <c r="L414" s="9"/>
    </row>
    <row r="415">
      <c r="A415" s="5" t="s">
        <v>13</v>
      </c>
      <c r="B415" s="6">
        <v>48.0</v>
      </c>
      <c r="C415" s="7">
        <v>100.0</v>
      </c>
      <c r="D415" s="8">
        <v>8807.0</v>
      </c>
      <c r="E415" s="8">
        <v>27638.0</v>
      </c>
      <c r="F415" s="8">
        <f t="shared" si="113"/>
        <v>64988.8091</v>
      </c>
      <c r="G415" s="8">
        <f t="shared" si="114"/>
        <v>1208.440558</v>
      </c>
      <c r="H415" s="8">
        <f t="shared" si="117"/>
        <v>70258.172</v>
      </c>
      <c r="I415" s="8">
        <f t="shared" si="115"/>
        <v>61475.9005</v>
      </c>
      <c r="J415" s="8">
        <v>58309.0</v>
      </c>
      <c r="K415" s="16">
        <v>81506.0</v>
      </c>
      <c r="L415" s="9"/>
    </row>
    <row r="416">
      <c r="A416" s="5" t="s">
        <v>13</v>
      </c>
      <c r="B416" s="6">
        <v>48.0</v>
      </c>
      <c r="C416" s="7">
        <v>150.0</v>
      </c>
      <c r="D416" s="8">
        <v>13716.0</v>
      </c>
      <c r="E416" s="8">
        <v>42945.0</v>
      </c>
      <c r="F416" s="8">
        <f t="shared" si="113"/>
        <v>98469.5356</v>
      </c>
      <c r="G416" s="8">
        <f t="shared" si="114"/>
        <v>1831.001094</v>
      </c>
      <c r="H416" s="8">
        <f t="shared" si="117"/>
        <v>106453.552</v>
      </c>
      <c r="I416" s="8">
        <f t="shared" si="115"/>
        <v>93146.858</v>
      </c>
      <c r="J416" s="8">
        <v>87463.0</v>
      </c>
      <c r="K416" s="16">
        <v>123496.0</v>
      </c>
      <c r="L416" s="9"/>
    </row>
    <row r="417">
      <c r="A417" s="5" t="s">
        <v>13</v>
      </c>
      <c r="B417" s="6">
        <v>48.0</v>
      </c>
      <c r="C417" s="7">
        <v>200.0</v>
      </c>
      <c r="D417" s="8">
        <v>18625.0</v>
      </c>
      <c r="E417" s="8">
        <v>58252.0</v>
      </c>
      <c r="F417" s="8">
        <f t="shared" si="113"/>
        <v>131950.2621</v>
      </c>
      <c r="G417" s="8">
        <f t="shared" si="114"/>
        <v>2453.56163</v>
      </c>
      <c r="H417" s="8">
        <f t="shared" si="117"/>
        <v>142648.932</v>
      </c>
      <c r="I417" s="8">
        <f t="shared" si="115"/>
        <v>124817.8155</v>
      </c>
      <c r="J417" s="8">
        <v>116618.0</v>
      </c>
      <c r="K417" s="16">
        <v>165486.0</v>
      </c>
      <c r="L417" s="9"/>
    </row>
    <row r="418">
      <c r="A418" s="5" t="s">
        <v>13</v>
      </c>
      <c r="B418" s="6">
        <v>48.0</v>
      </c>
      <c r="C418" s="7">
        <v>300.0</v>
      </c>
      <c r="D418" s="11">
        <v>28488.0</v>
      </c>
      <c r="E418" s="11">
        <v>89166.0</v>
      </c>
      <c r="F418" s="12">
        <f t="shared" si="113"/>
        <v>199087.1321</v>
      </c>
      <c r="G418" s="12">
        <f t="shared" si="114"/>
        <v>3701.94451</v>
      </c>
      <c r="H418" s="12">
        <f t="shared" si="117"/>
        <v>215229.332</v>
      </c>
      <c r="I418" s="12">
        <f t="shared" si="115"/>
        <v>188325.6655</v>
      </c>
      <c r="J418" s="11">
        <v>174927.0</v>
      </c>
      <c r="K418" s="16">
        <v>249686.0</v>
      </c>
      <c r="L418" s="9"/>
    </row>
    <row r="419">
      <c r="A419" s="5" t="s">
        <v>13</v>
      </c>
      <c r="B419" s="6">
        <v>48.0</v>
      </c>
      <c r="C419" s="7">
        <v>400.0</v>
      </c>
      <c r="D419" s="11">
        <v>38322.0</v>
      </c>
      <c r="E419" s="11">
        <v>119884.0</v>
      </c>
      <c r="F419" s="12">
        <f t="shared" si="113"/>
        <v>266108.3864</v>
      </c>
      <c r="G419" s="12">
        <f t="shared" si="114"/>
        <v>4948.177562</v>
      </c>
      <c r="H419" s="12">
        <f t="shared" si="117"/>
        <v>287684.742</v>
      </c>
      <c r="I419" s="12">
        <f t="shared" si="115"/>
        <v>251724.1493</v>
      </c>
      <c r="J419" s="11">
        <v>233236.0</v>
      </c>
      <c r="K419" s="16">
        <v>333741.0</v>
      </c>
      <c r="L419" s="9"/>
    </row>
    <row r="420">
      <c r="A420" s="5" t="s">
        <v>13</v>
      </c>
      <c r="B420" s="6">
        <v>49.0</v>
      </c>
      <c r="C420" s="7">
        <v>50.0</v>
      </c>
      <c r="D420" s="8">
        <v>1519.0</v>
      </c>
      <c r="E420" s="8">
        <v>5743.0</v>
      </c>
      <c r="F420" s="8">
        <f t="shared" si="113"/>
        <v>43537.70205</v>
      </c>
      <c r="G420" s="8">
        <f t="shared" si="114"/>
        <v>809.5659192</v>
      </c>
      <c r="H420" s="8">
        <f t="shared" si="117"/>
        <v>47067.786</v>
      </c>
      <c r="I420" s="8">
        <f t="shared" si="115"/>
        <v>41184.31275</v>
      </c>
      <c r="J420" s="8">
        <v>50000.0</v>
      </c>
      <c r="K420" s="17">
        <v>54603.0</v>
      </c>
      <c r="L420" s="9"/>
    </row>
    <row r="421">
      <c r="A421" s="5" t="s">
        <v>13</v>
      </c>
      <c r="B421" s="6">
        <v>49.0</v>
      </c>
      <c r="C421" s="7">
        <v>100.0</v>
      </c>
      <c r="D421" s="8">
        <v>8719.0</v>
      </c>
      <c r="E421" s="8">
        <v>27312.0</v>
      </c>
      <c r="F421" s="8">
        <f t="shared" si="113"/>
        <v>60698.26875</v>
      </c>
      <c r="G421" s="8">
        <f t="shared" si="114"/>
        <v>1128.6597</v>
      </c>
      <c r="H421" s="8">
        <f t="shared" si="117"/>
        <v>65619.75</v>
      </c>
      <c r="I421" s="8">
        <f t="shared" si="115"/>
        <v>57417.28125</v>
      </c>
      <c r="J421" s="8">
        <v>55248.0</v>
      </c>
      <c r="K421" s="17">
        <v>76125.0</v>
      </c>
      <c r="L421" s="9"/>
    </row>
    <row r="422">
      <c r="A422" s="5" t="s">
        <v>13</v>
      </c>
      <c r="B422" s="6">
        <v>49.0</v>
      </c>
      <c r="C422" s="7">
        <v>150.0</v>
      </c>
      <c r="D422" s="8">
        <v>13584.0</v>
      </c>
      <c r="E422" s="8">
        <v>42456.0</v>
      </c>
      <c r="F422" s="8">
        <f t="shared" si="113"/>
        <v>91942.4285</v>
      </c>
      <c r="G422" s="8">
        <f t="shared" si="114"/>
        <v>1709.632184</v>
      </c>
      <c r="H422" s="8">
        <f t="shared" si="117"/>
        <v>99397.22</v>
      </c>
      <c r="I422" s="8">
        <f t="shared" si="115"/>
        <v>86972.5675</v>
      </c>
      <c r="J422" s="8">
        <v>82873.0</v>
      </c>
      <c r="K422" s="17">
        <v>115310.0</v>
      </c>
      <c r="L422" s="9"/>
    </row>
    <row r="423">
      <c r="A423" s="5" t="s">
        <v>13</v>
      </c>
      <c r="B423" s="6">
        <v>49.0</v>
      </c>
      <c r="C423" s="7">
        <v>200.0</v>
      </c>
      <c r="D423" s="8">
        <v>18449.0</v>
      </c>
      <c r="E423" s="8">
        <v>57600.0</v>
      </c>
      <c r="F423" s="8">
        <f t="shared" si="113"/>
        <v>123187.3856</v>
      </c>
      <c r="G423" s="8">
        <f t="shared" si="114"/>
        <v>2290.619494</v>
      </c>
      <c r="H423" s="8">
        <f t="shared" si="117"/>
        <v>133175.552</v>
      </c>
      <c r="I423" s="8">
        <f t="shared" si="115"/>
        <v>116528.608</v>
      </c>
      <c r="J423" s="8">
        <v>110497.0</v>
      </c>
      <c r="K423" s="17">
        <v>154496.0</v>
      </c>
      <c r="L423" s="9"/>
    </row>
    <row r="424">
      <c r="A424" s="5" t="s">
        <v>13</v>
      </c>
      <c r="B424" s="6">
        <v>49.0</v>
      </c>
      <c r="C424" s="7">
        <v>300.0</v>
      </c>
      <c r="D424" s="11">
        <v>28225.0</v>
      </c>
      <c r="E424" s="11">
        <v>88186.0</v>
      </c>
      <c r="F424" s="12">
        <f t="shared" si="113"/>
        <v>185824.0122</v>
      </c>
      <c r="G424" s="12">
        <f t="shared" si="114"/>
        <v>3455.322173</v>
      </c>
      <c r="H424" s="12">
        <f t="shared" si="117"/>
        <v>200890.824</v>
      </c>
      <c r="I424" s="12">
        <f t="shared" si="115"/>
        <v>175779.471</v>
      </c>
      <c r="J424" s="11">
        <v>165746.0</v>
      </c>
      <c r="K424" s="17">
        <v>233052.0</v>
      </c>
      <c r="L424" s="9"/>
    </row>
    <row r="425">
      <c r="A425" s="5" t="s">
        <v>13</v>
      </c>
      <c r="B425" s="6">
        <v>49.0</v>
      </c>
      <c r="C425" s="7">
        <v>400.0</v>
      </c>
      <c r="D425" s="11">
        <v>37970.0</v>
      </c>
      <c r="E425" s="11">
        <v>118577.0</v>
      </c>
      <c r="F425" s="12">
        <f t="shared" si="113"/>
        <v>248363.3621</v>
      </c>
      <c r="G425" s="12">
        <f t="shared" si="114"/>
        <v>4618.21603</v>
      </c>
      <c r="H425" s="12">
        <f t="shared" si="117"/>
        <v>268500.932</v>
      </c>
      <c r="I425" s="12">
        <f t="shared" si="115"/>
        <v>234938.3155</v>
      </c>
      <c r="J425" s="11">
        <v>220994.0</v>
      </c>
      <c r="K425" s="23">
        <v>311486.0</v>
      </c>
      <c r="L425" s="9"/>
    </row>
    <row r="426">
      <c r="A426" s="5" t="s">
        <v>13</v>
      </c>
      <c r="B426" s="6">
        <v>50.0</v>
      </c>
      <c r="C426" s="7">
        <v>50.0</v>
      </c>
      <c r="D426" s="15">
        <v>1168.0</v>
      </c>
      <c r="E426" s="15">
        <v>4708.0</v>
      </c>
      <c r="F426" s="8">
        <f t="shared" si="113"/>
        <v>42663.80645</v>
      </c>
      <c r="G426" s="8">
        <f t="shared" si="114"/>
        <v>793.3161848</v>
      </c>
      <c r="H426" s="8">
        <f t="shared" si="117"/>
        <v>46123.034</v>
      </c>
      <c r="I426" s="8">
        <f t="shared" si="115"/>
        <v>40357.65475</v>
      </c>
      <c r="J426" s="8">
        <v>50000.0</v>
      </c>
      <c r="K426" s="16">
        <v>53507.0</v>
      </c>
      <c r="L426" s="9"/>
    </row>
    <row r="427">
      <c r="A427" s="5" t="s">
        <v>13</v>
      </c>
      <c r="B427" s="6">
        <v>50.0</v>
      </c>
      <c r="C427" s="7">
        <v>100.0</v>
      </c>
      <c r="D427" s="8">
        <v>8639.0</v>
      </c>
      <c r="E427" s="8">
        <v>27017.0</v>
      </c>
      <c r="F427" s="8">
        <f t="shared" si="113"/>
        <v>56777.6988</v>
      </c>
      <c r="G427" s="8">
        <f t="shared" si="114"/>
        <v>1055.758291</v>
      </c>
      <c r="H427" s="8">
        <f t="shared" si="117"/>
        <v>61381.296</v>
      </c>
      <c r="I427" s="8">
        <f t="shared" si="115"/>
        <v>53708.634</v>
      </c>
      <c r="J427" s="8">
        <v>52493.0</v>
      </c>
      <c r="K427" s="16">
        <v>71208.0</v>
      </c>
      <c r="L427" s="9"/>
    </row>
    <row r="428">
      <c r="A428" s="5" t="s">
        <v>13</v>
      </c>
      <c r="B428" s="6">
        <v>50.0</v>
      </c>
      <c r="C428" s="7">
        <v>150.0</v>
      </c>
      <c r="D428" s="15">
        <v>13464.0</v>
      </c>
      <c r="E428" s="15">
        <v>42014.0</v>
      </c>
      <c r="F428" s="8">
        <f t="shared" si="113"/>
        <v>85977.45315</v>
      </c>
      <c r="G428" s="8">
        <f t="shared" si="114"/>
        <v>1598.715886</v>
      </c>
      <c r="H428" s="8">
        <f t="shared" si="117"/>
        <v>92948.598</v>
      </c>
      <c r="I428" s="8">
        <f t="shared" si="115"/>
        <v>81330.02325</v>
      </c>
      <c r="J428" s="8">
        <v>78740.0</v>
      </c>
      <c r="K428" s="16">
        <v>107829.0</v>
      </c>
      <c r="L428" s="9"/>
    </row>
    <row r="429">
      <c r="A429" s="5" t="s">
        <v>13</v>
      </c>
      <c r="B429" s="6">
        <v>50.0</v>
      </c>
      <c r="C429" s="7">
        <v>200.0</v>
      </c>
      <c r="D429" s="15">
        <v>18289.0</v>
      </c>
      <c r="E429" s="15">
        <v>57010.0</v>
      </c>
      <c r="F429" s="8">
        <f t="shared" si="113"/>
        <v>115177.2075</v>
      </c>
      <c r="G429" s="8">
        <f t="shared" si="114"/>
        <v>2141.67348</v>
      </c>
      <c r="H429" s="8">
        <f t="shared" si="117"/>
        <v>124515.9</v>
      </c>
      <c r="I429" s="8">
        <f t="shared" si="115"/>
        <v>108951.4125</v>
      </c>
      <c r="J429" s="8">
        <v>104987.0</v>
      </c>
      <c r="K429" s="16">
        <v>144450.0</v>
      </c>
      <c r="L429" s="9"/>
    </row>
    <row r="430">
      <c r="A430" s="5" t="s">
        <v>13</v>
      </c>
      <c r="B430" s="6">
        <v>50.0</v>
      </c>
      <c r="C430" s="7">
        <v>300.0</v>
      </c>
      <c r="D430" s="24">
        <v>27985.0</v>
      </c>
      <c r="E430" s="11">
        <v>87299.0</v>
      </c>
      <c r="F430" s="12">
        <f t="shared" si="113"/>
        <v>173699.5081</v>
      </c>
      <c r="G430" s="12">
        <f t="shared" si="114"/>
        <v>3229.871934</v>
      </c>
      <c r="H430" s="12">
        <f t="shared" si="117"/>
        <v>187783.252</v>
      </c>
      <c r="I430" s="12">
        <f t="shared" si="115"/>
        <v>164310.3455</v>
      </c>
      <c r="J430" s="11">
        <v>157480.0</v>
      </c>
      <c r="K430" s="23">
        <v>217846.0</v>
      </c>
      <c r="L430" s="9"/>
    </row>
    <row r="431">
      <c r="A431" s="5" t="s">
        <v>13</v>
      </c>
      <c r="B431" s="6">
        <v>50.0</v>
      </c>
      <c r="C431" s="7">
        <v>400.0</v>
      </c>
      <c r="D431" s="11">
        <v>37650.0</v>
      </c>
      <c r="E431" s="11">
        <v>117394.0</v>
      </c>
      <c r="F431" s="12">
        <f t="shared" si="113"/>
        <v>232140.479</v>
      </c>
      <c r="G431" s="12">
        <f t="shared" si="114"/>
        <v>4316.558096</v>
      </c>
      <c r="H431" s="12">
        <f t="shared" si="117"/>
        <v>250962.68</v>
      </c>
      <c r="I431" s="12">
        <f t="shared" si="115"/>
        <v>219592.345</v>
      </c>
      <c r="J431" s="11">
        <v>209973.0</v>
      </c>
      <c r="K431" s="16">
        <v>291140.0</v>
      </c>
      <c r="L431" s="9"/>
    </row>
    <row r="432">
      <c r="A432" s="5" t="s">
        <v>13</v>
      </c>
      <c r="B432" s="6">
        <v>51.0</v>
      </c>
      <c r="C432" s="7">
        <v>50.0</v>
      </c>
      <c r="D432" s="15">
        <v>783.0</v>
      </c>
      <c r="E432" s="15">
        <v>3348.0</v>
      </c>
      <c r="F432" s="8">
        <f t="shared" si="113"/>
        <v>41809.8446</v>
      </c>
      <c r="G432" s="8">
        <f t="shared" si="114"/>
        <v>777.4371104</v>
      </c>
      <c r="H432" s="8">
        <f t="shared" si="117"/>
        <v>45199.832</v>
      </c>
      <c r="I432" s="8">
        <f t="shared" si="115"/>
        <v>39549.853</v>
      </c>
      <c r="J432" s="8">
        <v>50000.0</v>
      </c>
      <c r="K432" s="17">
        <v>52436.0</v>
      </c>
      <c r="L432" s="9"/>
    </row>
    <row r="433">
      <c r="A433" s="5" t="s">
        <v>13</v>
      </c>
      <c r="B433" s="6">
        <v>51.0</v>
      </c>
      <c r="C433" s="7">
        <v>100.0</v>
      </c>
      <c r="D433" s="15">
        <v>8531.0</v>
      </c>
      <c r="E433" s="15">
        <v>26424.0</v>
      </c>
      <c r="F433" s="8">
        <f t="shared" si="113"/>
        <v>53100.3206</v>
      </c>
      <c r="G433" s="8">
        <f t="shared" si="114"/>
        <v>987.3789344</v>
      </c>
      <c r="H433" s="8">
        <f t="shared" si="117"/>
        <v>57405.752</v>
      </c>
      <c r="I433" s="8">
        <f t="shared" si="115"/>
        <v>50230.033</v>
      </c>
      <c r="J433" s="8">
        <v>50000.0</v>
      </c>
      <c r="K433" s="17">
        <v>66596.0</v>
      </c>
      <c r="L433" s="9"/>
    </row>
    <row r="434">
      <c r="A434" s="5" t="s">
        <v>13</v>
      </c>
      <c r="B434" s="6">
        <v>51.0</v>
      </c>
      <c r="C434" s="7">
        <v>150.0</v>
      </c>
      <c r="D434" s="15">
        <v>13434.0</v>
      </c>
      <c r="E434" s="15">
        <v>41496.0</v>
      </c>
      <c r="F434" s="8">
        <f t="shared" si="113"/>
        <v>79672.00935</v>
      </c>
      <c r="G434" s="8">
        <f t="shared" si="114"/>
        <v>1481.468714</v>
      </c>
      <c r="H434" s="8">
        <f t="shared" si="117"/>
        <v>86131.902</v>
      </c>
      <c r="I434" s="8">
        <f t="shared" si="115"/>
        <v>75365.41425</v>
      </c>
      <c r="J434" s="8">
        <v>73891.0</v>
      </c>
      <c r="K434" s="17">
        <v>99921.0</v>
      </c>
      <c r="L434" s="9"/>
    </row>
    <row r="435">
      <c r="A435" s="5" t="s">
        <v>13</v>
      </c>
      <c r="B435" s="6">
        <v>51.0</v>
      </c>
      <c r="C435" s="7">
        <v>200.0</v>
      </c>
      <c r="D435" s="15">
        <v>18249.0</v>
      </c>
      <c r="E435" s="15">
        <v>56320.0</v>
      </c>
      <c r="F435" s="8">
        <f t="shared" si="113"/>
        <v>106717.324</v>
      </c>
      <c r="G435" s="8">
        <f t="shared" si="114"/>
        <v>1984.365376</v>
      </c>
      <c r="H435" s="8">
        <f t="shared" si="117"/>
        <v>115370.08</v>
      </c>
      <c r="I435" s="8">
        <f t="shared" si="115"/>
        <v>100948.82</v>
      </c>
      <c r="J435" s="8">
        <v>98522.0</v>
      </c>
      <c r="K435" s="17">
        <v>133840.0</v>
      </c>
      <c r="L435" s="9"/>
    </row>
    <row r="436">
      <c r="A436" s="5" t="s">
        <v>13</v>
      </c>
      <c r="B436" s="6">
        <v>51.0</v>
      </c>
      <c r="C436" s="7">
        <v>300.0</v>
      </c>
      <c r="D436" s="11">
        <v>27924.0</v>
      </c>
      <c r="E436" s="11">
        <v>86262.0</v>
      </c>
      <c r="F436" s="12">
        <f t="shared" si="113"/>
        <v>160909.2168</v>
      </c>
      <c r="G436" s="12">
        <f t="shared" si="114"/>
        <v>2992.041652</v>
      </c>
      <c r="H436" s="12">
        <f t="shared" si="117"/>
        <v>173955.91</v>
      </c>
      <c r="I436" s="12">
        <f t="shared" si="115"/>
        <v>152211.4213</v>
      </c>
      <c r="J436" s="11">
        <v>147783.0</v>
      </c>
      <c r="K436" s="17">
        <v>201805.0</v>
      </c>
      <c r="L436" s="9"/>
    </row>
    <row r="437">
      <c r="A437" s="5" t="s">
        <v>13</v>
      </c>
      <c r="B437" s="6">
        <v>51.0</v>
      </c>
      <c r="C437" s="7">
        <v>400.0</v>
      </c>
      <c r="D437" s="11">
        <v>37570.0</v>
      </c>
      <c r="E437" s="11">
        <v>116012.0</v>
      </c>
      <c r="F437" s="12">
        <f t="shared" si="113"/>
        <v>215034.1321</v>
      </c>
      <c r="G437" s="12">
        <f t="shared" si="114"/>
        <v>3998.47251</v>
      </c>
      <c r="H437" s="12">
        <f t="shared" si="117"/>
        <v>232469.332</v>
      </c>
      <c r="I437" s="12">
        <f t="shared" si="115"/>
        <v>203410.6655</v>
      </c>
      <c r="J437" s="11">
        <v>197044.0</v>
      </c>
      <c r="K437" s="17">
        <v>269686.0</v>
      </c>
      <c r="L437" s="9"/>
    </row>
    <row r="438">
      <c r="A438" s="5" t="s">
        <v>13</v>
      </c>
      <c r="B438" s="6">
        <v>52.0</v>
      </c>
      <c r="C438" s="7">
        <v>50.0</v>
      </c>
      <c r="D438" s="25" t="s">
        <v>12</v>
      </c>
      <c r="E438" s="25" t="s">
        <v>12</v>
      </c>
      <c r="F438" s="25" t="s">
        <v>12</v>
      </c>
      <c r="G438" s="25" t="s">
        <v>12</v>
      </c>
      <c r="H438" s="25" t="s">
        <v>12</v>
      </c>
      <c r="I438" s="25" t="s">
        <v>12</v>
      </c>
      <c r="J438" s="25" t="s">
        <v>12</v>
      </c>
      <c r="K438" s="9" t="s">
        <v>12</v>
      </c>
      <c r="L438" s="9"/>
    </row>
    <row r="439">
      <c r="A439" s="5" t="s">
        <v>13</v>
      </c>
      <c r="B439" s="6">
        <v>52.0</v>
      </c>
      <c r="C439" s="7">
        <v>100.0</v>
      </c>
      <c r="D439" s="15">
        <v>8145.0</v>
      </c>
      <c r="E439" s="15">
        <v>25062.0</v>
      </c>
      <c r="F439" s="8">
        <f t="shared" ref="F439:F443" si="118">H439*92.5%</f>
        <v>51204.2223</v>
      </c>
      <c r="G439" s="8">
        <f t="shared" ref="G439:G443" si="119">H439*0.0172</f>
        <v>952.1217552</v>
      </c>
      <c r="H439" s="8">
        <f t="shared" ref="H439:H443" si="120">K439*86.2%</f>
        <v>55355.916</v>
      </c>
      <c r="I439" s="8">
        <f t="shared" ref="I439:I443" si="121">H439*87.5%</f>
        <v>48436.4265</v>
      </c>
      <c r="J439" s="8">
        <v>50000.0</v>
      </c>
      <c r="K439" s="16">
        <v>64218.0</v>
      </c>
      <c r="L439" s="9"/>
    </row>
    <row r="440">
      <c r="A440" s="5" t="s">
        <v>13</v>
      </c>
      <c r="B440" s="6">
        <v>52.0</v>
      </c>
      <c r="C440" s="7">
        <v>150.0</v>
      </c>
      <c r="D440" s="8">
        <v>13407.0</v>
      </c>
      <c r="E440" s="15">
        <v>41037.0</v>
      </c>
      <c r="F440" s="8">
        <f t="shared" si="118"/>
        <v>73982.11975</v>
      </c>
      <c r="G440" s="8">
        <f t="shared" si="119"/>
        <v>1375.667524</v>
      </c>
      <c r="H440" s="8">
        <f t="shared" si="120"/>
        <v>79980.67</v>
      </c>
      <c r="I440" s="8">
        <f t="shared" si="121"/>
        <v>69983.08625</v>
      </c>
      <c r="J440" s="8">
        <v>69605.0</v>
      </c>
      <c r="K440" s="16">
        <v>92785.0</v>
      </c>
      <c r="L440" s="9"/>
    </row>
    <row r="441">
      <c r="A441" s="5" t="s">
        <v>13</v>
      </c>
      <c r="B441" s="6">
        <v>52.0</v>
      </c>
      <c r="C441" s="7">
        <v>200.0</v>
      </c>
      <c r="D441" s="15">
        <v>18212.0</v>
      </c>
      <c r="E441" s="15">
        <v>55708.0</v>
      </c>
      <c r="F441" s="8">
        <f t="shared" si="118"/>
        <v>99080.3057</v>
      </c>
      <c r="G441" s="8">
        <f t="shared" si="119"/>
        <v>1842.358117</v>
      </c>
      <c r="H441" s="8">
        <f t="shared" si="120"/>
        <v>107113.844</v>
      </c>
      <c r="I441" s="8">
        <f t="shared" si="121"/>
        <v>93724.6135</v>
      </c>
      <c r="J441" s="8">
        <v>92807.0</v>
      </c>
      <c r="K441" s="16">
        <v>124262.0</v>
      </c>
      <c r="L441" s="9"/>
    </row>
    <row r="442">
      <c r="A442" s="5" t="s">
        <v>13</v>
      </c>
      <c r="B442" s="6">
        <v>52.0</v>
      </c>
      <c r="C442" s="7">
        <v>300.0</v>
      </c>
      <c r="D442" s="11">
        <v>27869.0</v>
      </c>
      <c r="E442" s="11">
        <v>85342.0</v>
      </c>
      <c r="F442" s="12">
        <f t="shared" si="118"/>
        <v>149362.7914</v>
      </c>
      <c r="G442" s="12">
        <f t="shared" si="119"/>
        <v>2777.340554</v>
      </c>
      <c r="H442" s="12">
        <f t="shared" si="120"/>
        <v>161473.288</v>
      </c>
      <c r="I442" s="12">
        <f t="shared" si="121"/>
        <v>141289.127</v>
      </c>
      <c r="J442" s="11">
        <v>139211.0</v>
      </c>
      <c r="K442" s="16">
        <v>187324.0</v>
      </c>
      <c r="L442" s="9"/>
    </row>
    <row r="443">
      <c r="A443" s="5" t="s">
        <v>13</v>
      </c>
      <c r="B443" s="6">
        <v>52.0</v>
      </c>
      <c r="C443" s="7">
        <v>400.0</v>
      </c>
      <c r="D443" s="11">
        <v>37496.0</v>
      </c>
      <c r="E443" s="11">
        <v>114785.0</v>
      </c>
      <c r="F443" s="12">
        <f t="shared" si="118"/>
        <v>199588.6653</v>
      </c>
      <c r="G443" s="12">
        <f t="shared" si="119"/>
        <v>3711.270316</v>
      </c>
      <c r="H443" s="12">
        <f t="shared" si="120"/>
        <v>215771.53</v>
      </c>
      <c r="I443" s="12">
        <f t="shared" si="121"/>
        <v>188800.0888</v>
      </c>
      <c r="J443" s="11">
        <v>185615.0</v>
      </c>
      <c r="K443" s="16">
        <v>250315.0</v>
      </c>
      <c r="L443" s="9"/>
    </row>
    <row r="444">
      <c r="A444" s="5" t="s">
        <v>13</v>
      </c>
      <c r="B444" s="6">
        <v>53.0</v>
      </c>
      <c r="C444" s="7">
        <v>50.0</v>
      </c>
      <c r="D444" s="25" t="s">
        <v>12</v>
      </c>
      <c r="E444" s="25" t="s">
        <v>12</v>
      </c>
      <c r="F444" s="25" t="s">
        <v>12</v>
      </c>
      <c r="G444" s="25" t="s">
        <v>12</v>
      </c>
      <c r="H444" s="25" t="s">
        <v>12</v>
      </c>
      <c r="I444" s="25" t="s">
        <v>12</v>
      </c>
      <c r="J444" s="25" t="s">
        <v>12</v>
      </c>
      <c r="K444" s="9" t="s">
        <v>12</v>
      </c>
      <c r="L444" s="9"/>
    </row>
    <row r="445">
      <c r="A445" s="5" t="s">
        <v>13</v>
      </c>
      <c r="B445" s="6">
        <v>53.0</v>
      </c>
      <c r="C445" s="7">
        <v>100.0</v>
      </c>
      <c r="D445" s="15">
        <v>7759.0</v>
      </c>
      <c r="E445" s="15">
        <v>23702.0</v>
      </c>
      <c r="F445" s="8">
        <f t="shared" ref="F445:F449" si="122">H445*92.5%</f>
        <v>49481.14895</v>
      </c>
      <c r="G445" s="8">
        <f t="shared" ref="G445:G449" si="123">H445*0.0172</f>
        <v>920.0819048</v>
      </c>
      <c r="H445" s="8">
        <f t="shared" ref="H445:H449" si="124">K445*86.2%</f>
        <v>53493.134</v>
      </c>
      <c r="I445" s="8">
        <f t="shared" ref="I445:I449" si="125">H445*87.5%</f>
        <v>46806.49225</v>
      </c>
      <c r="J445" s="8">
        <v>50000.0</v>
      </c>
      <c r="K445" s="17">
        <v>62057.0</v>
      </c>
      <c r="L445" s="9"/>
    </row>
    <row r="446">
      <c r="A446" s="5" t="s">
        <v>13</v>
      </c>
      <c r="B446" s="6">
        <v>53.0</v>
      </c>
      <c r="C446" s="7">
        <v>150.0</v>
      </c>
      <c r="D446" s="15">
        <v>13379.0</v>
      </c>
      <c r="E446" s="15">
        <v>40618.0</v>
      </c>
      <c r="F446" s="8">
        <f t="shared" si="122"/>
        <v>68827.252</v>
      </c>
      <c r="G446" s="8">
        <f t="shared" si="123"/>
        <v>1279.814848</v>
      </c>
      <c r="H446" s="8">
        <f t="shared" si="124"/>
        <v>74407.84</v>
      </c>
      <c r="I446" s="8">
        <f t="shared" si="125"/>
        <v>65106.86</v>
      </c>
      <c r="J446" s="8">
        <v>65818.0</v>
      </c>
      <c r="K446" s="17">
        <v>86320.0</v>
      </c>
      <c r="L446" s="9"/>
    </row>
    <row r="447">
      <c r="A447" s="5" t="s">
        <v>13</v>
      </c>
      <c r="B447" s="6">
        <v>53.0</v>
      </c>
      <c r="C447" s="7">
        <v>200.0</v>
      </c>
      <c r="D447" s="15">
        <v>18176.0</v>
      </c>
      <c r="E447" s="15">
        <v>55150.0</v>
      </c>
      <c r="F447" s="8">
        <f t="shared" si="122"/>
        <v>92160.10505</v>
      </c>
      <c r="G447" s="8">
        <f t="shared" si="123"/>
        <v>1713.679791</v>
      </c>
      <c r="H447" s="8">
        <f t="shared" si="124"/>
        <v>99632.546</v>
      </c>
      <c r="I447" s="8">
        <f t="shared" si="125"/>
        <v>87178.47775</v>
      </c>
      <c r="J447" s="8">
        <v>87757.0</v>
      </c>
      <c r="K447" s="17">
        <v>115583.0</v>
      </c>
      <c r="L447" s="9"/>
    </row>
    <row r="448">
      <c r="A448" s="5" t="s">
        <v>13</v>
      </c>
      <c r="B448" s="6">
        <v>53.0</v>
      </c>
      <c r="C448" s="7">
        <v>300.0</v>
      </c>
      <c r="D448" s="11">
        <v>27814.0</v>
      </c>
      <c r="E448" s="11">
        <v>84505.0</v>
      </c>
      <c r="F448" s="12">
        <f t="shared" si="122"/>
        <v>138896.7753</v>
      </c>
      <c r="G448" s="12">
        <f t="shared" si="123"/>
        <v>2582.729227</v>
      </c>
      <c r="H448" s="12">
        <f t="shared" si="124"/>
        <v>150158.676</v>
      </c>
      <c r="I448" s="12">
        <f t="shared" si="125"/>
        <v>131388.8415</v>
      </c>
      <c r="J448" s="11">
        <v>131636.0</v>
      </c>
      <c r="K448" s="23">
        <v>174198.0</v>
      </c>
      <c r="L448" s="9"/>
    </row>
    <row r="449">
      <c r="A449" s="5" t="s">
        <v>13</v>
      </c>
      <c r="B449" s="6">
        <v>53.0</v>
      </c>
      <c r="C449" s="7">
        <v>400.0</v>
      </c>
      <c r="D449" s="11">
        <v>37423.0</v>
      </c>
      <c r="E449" s="11">
        <v>113668.0</v>
      </c>
      <c r="F449" s="12">
        <f t="shared" si="122"/>
        <v>185587.9966</v>
      </c>
      <c r="G449" s="12">
        <f t="shared" si="123"/>
        <v>3450.933558</v>
      </c>
      <c r="H449" s="12">
        <f t="shared" si="124"/>
        <v>200635.672</v>
      </c>
      <c r="I449" s="12">
        <f t="shared" si="125"/>
        <v>175556.213</v>
      </c>
      <c r="J449" s="11">
        <v>175515.0</v>
      </c>
      <c r="K449" s="17">
        <v>232756.0</v>
      </c>
      <c r="L449" s="9"/>
    </row>
    <row r="450">
      <c r="A450" s="5" t="s">
        <v>13</v>
      </c>
      <c r="B450" s="6">
        <v>54.0</v>
      </c>
      <c r="C450" s="7">
        <v>50.0</v>
      </c>
      <c r="D450" s="25" t="s">
        <v>12</v>
      </c>
      <c r="E450" s="25" t="s">
        <v>12</v>
      </c>
      <c r="F450" s="25" t="s">
        <v>12</v>
      </c>
      <c r="G450" s="25" t="s">
        <v>12</v>
      </c>
      <c r="H450" s="25" t="s">
        <v>12</v>
      </c>
      <c r="I450" s="25" t="s">
        <v>12</v>
      </c>
      <c r="J450" s="25" t="s">
        <v>12</v>
      </c>
      <c r="K450" s="9" t="s">
        <v>12</v>
      </c>
      <c r="L450" s="9"/>
    </row>
    <row r="451">
      <c r="A451" s="5" t="s">
        <v>13</v>
      </c>
      <c r="B451" s="6">
        <v>54.0</v>
      </c>
      <c r="C451" s="7">
        <v>100.0</v>
      </c>
      <c r="D451" s="8">
        <v>7372.0</v>
      </c>
      <c r="E451" s="8">
        <v>22344.0</v>
      </c>
      <c r="F451" s="8">
        <f t="shared" ref="F451:F455" si="126">H451*92.5%</f>
        <v>47902.39595</v>
      </c>
      <c r="G451" s="8">
        <f t="shared" ref="G451:G455" si="127">H451*0.0172</f>
        <v>890.7256328</v>
      </c>
      <c r="H451" s="8">
        <f t="shared" ref="H451:H455" si="128">K451*86.2%</f>
        <v>51786.374</v>
      </c>
      <c r="I451" s="8">
        <f t="shared" ref="I451:I455" si="129">H451*87.5%</f>
        <v>45313.07725</v>
      </c>
      <c r="J451" s="8">
        <v>50000.0</v>
      </c>
      <c r="K451" s="16">
        <v>60077.0</v>
      </c>
      <c r="L451" s="9"/>
    </row>
    <row r="452">
      <c r="A452" s="5" t="s">
        <v>13</v>
      </c>
      <c r="B452" s="6">
        <v>54.0</v>
      </c>
      <c r="C452" s="7">
        <v>150.0</v>
      </c>
      <c r="D452" s="8">
        <v>13357.0</v>
      </c>
      <c r="E452" s="15">
        <v>40257.0</v>
      </c>
      <c r="F452" s="8">
        <f t="shared" si="126"/>
        <v>64082.22215</v>
      </c>
      <c r="G452" s="8">
        <f t="shared" si="127"/>
        <v>1191.582942</v>
      </c>
      <c r="H452" s="8">
        <f t="shared" si="128"/>
        <v>69278.078</v>
      </c>
      <c r="I452" s="8">
        <f t="shared" si="129"/>
        <v>60618.31825</v>
      </c>
      <c r="J452" s="8">
        <v>62396.0</v>
      </c>
      <c r="K452" s="16">
        <v>80369.0</v>
      </c>
      <c r="L452" s="9"/>
    </row>
    <row r="453">
      <c r="A453" s="5" t="s">
        <v>13</v>
      </c>
      <c r="B453" s="6">
        <v>54.0</v>
      </c>
      <c r="C453" s="7">
        <v>200.0</v>
      </c>
      <c r="D453" s="15">
        <v>18147.0</v>
      </c>
      <c r="E453" s="15">
        <v>54668.0</v>
      </c>
      <c r="F453" s="8">
        <f t="shared" si="126"/>
        <v>85790.0759</v>
      </c>
      <c r="G453" s="8">
        <f t="shared" si="127"/>
        <v>1595.231682</v>
      </c>
      <c r="H453" s="8">
        <f t="shared" si="128"/>
        <v>92746.028</v>
      </c>
      <c r="I453" s="8">
        <f t="shared" si="129"/>
        <v>81152.7745</v>
      </c>
      <c r="J453" s="8">
        <v>83194.0</v>
      </c>
      <c r="K453" s="16">
        <v>107594.0</v>
      </c>
      <c r="L453" s="9"/>
    </row>
    <row r="454">
      <c r="A454" s="5" t="s">
        <v>13</v>
      </c>
      <c r="B454" s="6">
        <v>54.0</v>
      </c>
      <c r="C454" s="7">
        <v>300.0</v>
      </c>
      <c r="D454" s="11">
        <v>27770.0</v>
      </c>
      <c r="E454" s="11">
        <v>83780.0</v>
      </c>
      <c r="F454" s="12">
        <f t="shared" si="126"/>
        <v>129263.99</v>
      </c>
      <c r="G454" s="12">
        <f t="shared" si="127"/>
        <v>2403.611489</v>
      </c>
      <c r="H454" s="12">
        <f t="shared" si="128"/>
        <v>139744.854</v>
      </c>
      <c r="I454" s="12">
        <f t="shared" si="129"/>
        <v>122276.7473</v>
      </c>
      <c r="J454" s="11">
        <v>124792.0</v>
      </c>
      <c r="K454" s="16">
        <v>162117.0</v>
      </c>
      <c r="L454" s="9"/>
    </row>
    <row r="455">
      <c r="A455" s="5" t="s">
        <v>13</v>
      </c>
      <c r="B455" s="6">
        <v>54.0</v>
      </c>
      <c r="C455" s="7">
        <v>400.0</v>
      </c>
      <c r="D455" s="11">
        <v>37364.0</v>
      </c>
      <c r="E455" s="11">
        <v>112703.0</v>
      </c>
      <c r="F455" s="12">
        <f t="shared" si="126"/>
        <v>172699.6312</v>
      </c>
      <c r="G455" s="12">
        <f t="shared" si="127"/>
        <v>3211.279629</v>
      </c>
      <c r="H455" s="12">
        <f t="shared" si="128"/>
        <v>186702.304</v>
      </c>
      <c r="I455" s="12">
        <f t="shared" si="129"/>
        <v>163364.516</v>
      </c>
      <c r="J455" s="11">
        <v>166389.0</v>
      </c>
      <c r="K455" s="16">
        <v>216592.0</v>
      </c>
      <c r="L455" s="9"/>
    </row>
    <row r="456">
      <c r="A456" s="5" t="s">
        <v>13</v>
      </c>
      <c r="B456" s="6">
        <v>55.0</v>
      </c>
      <c r="C456" s="7">
        <v>50.0</v>
      </c>
      <c r="D456" s="25" t="s">
        <v>12</v>
      </c>
      <c r="E456" s="25" t="s">
        <v>12</v>
      </c>
      <c r="F456" s="25" t="s">
        <v>12</v>
      </c>
      <c r="G456" s="25" t="s">
        <v>12</v>
      </c>
      <c r="H456" s="25" t="s">
        <v>12</v>
      </c>
      <c r="I456" s="25" t="s">
        <v>12</v>
      </c>
      <c r="J456" s="25" t="s">
        <v>12</v>
      </c>
      <c r="K456" s="9" t="s">
        <v>12</v>
      </c>
      <c r="L456" s="9"/>
    </row>
    <row r="457">
      <c r="A457" s="5" t="s">
        <v>13</v>
      </c>
      <c r="B457" s="6">
        <v>55.0</v>
      </c>
      <c r="C457" s="7">
        <v>100.0</v>
      </c>
      <c r="D457" s="15">
        <v>6986.0</v>
      </c>
      <c r="E457" s="15">
        <v>20980.0</v>
      </c>
      <c r="F457" s="8">
        <f t="shared" ref="F457:F461" si="130">H457*92.5%</f>
        <v>46454.40835</v>
      </c>
      <c r="G457" s="8">
        <f t="shared" ref="G457:G461" si="131">H457*0.0172</f>
        <v>863.8008904</v>
      </c>
      <c r="H457" s="8">
        <f t="shared" ref="H457:H461" si="132">K457*86.2%</f>
        <v>50220.982</v>
      </c>
      <c r="I457" s="8">
        <f t="shared" ref="I457:I461" si="133">H457*87.5%</f>
        <v>43943.35925</v>
      </c>
      <c r="J457" s="8">
        <v>50000.0</v>
      </c>
      <c r="K457" s="17">
        <v>58261.0</v>
      </c>
      <c r="L457" s="9"/>
    </row>
    <row r="458">
      <c r="A458" s="5" t="s">
        <v>13</v>
      </c>
      <c r="B458" s="6">
        <v>55.0</v>
      </c>
      <c r="C458" s="7">
        <v>150.0</v>
      </c>
      <c r="D458" s="15">
        <v>13335.0</v>
      </c>
      <c r="E458" s="15">
        <v>39913.0</v>
      </c>
      <c r="F458" s="8">
        <f t="shared" si="130"/>
        <v>59729.4885</v>
      </c>
      <c r="G458" s="8">
        <f t="shared" si="131"/>
        <v>1110.645624</v>
      </c>
      <c r="H458" s="8">
        <f t="shared" si="132"/>
        <v>64572.42</v>
      </c>
      <c r="I458" s="8">
        <f t="shared" si="133"/>
        <v>56500.8675</v>
      </c>
      <c r="J458" s="8">
        <v>59335.0</v>
      </c>
      <c r="K458" s="17">
        <v>74910.0</v>
      </c>
      <c r="L458" s="9"/>
    </row>
    <row r="459">
      <c r="A459" s="5" t="s">
        <v>13</v>
      </c>
      <c r="B459" s="6">
        <v>55.0</v>
      </c>
      <c r="C459" s="7">
        <v>200.0</v>
      </c>
      <c r="D459" s="15">
        <v>18117.0</v>
      </c>
      <c r="E459" s="15">
        <v>54210.0</v>
      </c>
      <c r="F459" s="8">
        <f t="shared" si="130"/>
        <v>79946.29775</v>
      </c>
      <c r="G459" s="8">
        <f t="shared" si="131"/>
        <v>1486.568996</v>
      </c>
      <c r="H459" s="8">
        <f t="shared" si="132"/>
        <v>86428.43</v>
      </c>
      <c r="I459" s="8">
        <f t="shared" si="133"/>
        <v>75624.87625</v>
      </c>
      <c r="J459" s="8">
        <v>79114.0</v>
      </c>
      <c r="K459" s="17">
        <v>100265.0</v>
      </c>
      <c r="L459" s="9"/>
    </row>
    <row r="460">
      <c r="A460" s="5" t="s">
        <v>13</v>
      </c>
      <c r="B460" s="6">
        <v>55.0</v>
      </c>
      <c r="C460" s="7">
        <v>300.0</v>
      </c>
      <c r="D460" s="11">
        <v>27726.0</v>
      </c>
      <c r="E460" s="11">
        <v>83093.0</v>
      </c>
      <c r="F460" s="12">
        <f t="shared" si="130"/>
        <v>120425.3652</v>
      </c>
      <c r="G460" s="12">
        <f t="shared" si="131"/>
        <v>2239.260845</v>
      </c>
      <c r="H460" s="12">
        <f t="shared" si="132"/>
        <v>130189.584</v>
      </c>
      <c r="I460" s="12">
        <f t="shared" si="133"/>
        <v>113915.886</v>
      </c>
      <c r="J460" s="11">
        <v>118671.0</v>
      </c>
      <c r="K460" s="17">
        <v>151032.0</v>
      </c>
      <c r="L460" s="9"/>
    </row>
    <row r="461">
      <c r="A461" s="5" t="s">
        <v>13</v>
      </c>
      <c r="B461" s="6">
        <v>55.0</v>
      </c>
      <c r="C461" s="7">
        <v>400.0</v>
      </c>
      <c r="D461" s="11">
        <v>37305.0</v>
      </c>
      <c r="E461" s="11">
        <v>111786.0</v>
      </c>
      <c r="F461" s="12">
        <f t="shared" si="130"/>
        <v>160874.1334</v>
      </c>
      <c r="G461" s="12">
        <f t="shared" si="131"/>
        <v>2991.38929</v>
      </c>
      <c r="H461" s="12">
        <f t="shared" si="132"/>
        <v>173917.982</v>
      </c>
      <c r="I461" s="12">
        <f t="shared" si="133"/>
        <v>152178.2343</v>
      </c>
      <c r="J461" s="11">
        <v>158228.0</v>
      </c>
      <c r="K461" s="17">
        <v>201761.0</v>
      </c>
      <c r="L461" s="9"/>
    </row>
    <row r="462">
      <c r="C462" s="26"/>
      <c r="D462" s="27"/>
      <c r="E462" s="27"/>
      <c r="F462" s="27"/>
      <c r="G462" s="27"/>
      <c r="H462" s="27"/>
      <c r="I462" s="27"/>
      <c r="J462" s="27"/>
    </row>
    <row r="463">
      <c r="C463" s="26"/>
      <c r="D463" s="27"/>
      <c r="E463" s="27"/>
      <c r="F463" s="27"/>
      <c r="G463" s="27"/>
      <c r="H463" s="27"/>
      <c r="I463" s="27"/>
      <c r="J463" s="27"/>
    </row>
    <row r="464">
      <c r="C464" s="26"/>
      <c r="D464" s="27"/>
      <c r="E464" s="27"/>
      <c r="F464" s="27"/>
      <c r="G464" s="27"/>
      <c r="H464" s="27"/>
      <c r="I464" s="27"/>
      <c r="J464" s="27"/>
    </row>
    <row r="465">
      <c r="C465" s="26"/>
      <c r="D465" s="27"/>
      <c r="E465" s="27"/>
      <c r="F465" s="27"/>
      <c r="G465" s="27"/>
      <c r="H465" s="27"/>
      <c r="I465" s="27"/>
      <c r="J465" s="27"/>
    </row>
    <row r="466">
      <c r="C466" s="26"/>
      <c r="D466" s="27"/>
      <c r="E466" s="27"/>
      <c r="F466" s="27"/>
      <c r="G466" s="27"/>
      <c r="H466" s="27"/>
      <c r="I466" s="27"/>
      <c r="J466" s="27"/>
    </row>
    <row r="467">
      <c r="C467" s="26"/>
      <c r="D467" s="27"/>
      <c r="E467" s="27"/>
      <c r="F467" s="27"/>
      <c r="G467" s="27"/>
      <c r="H467" s="27"/>
      <c r="I467" s="27"/>
      <c r="J467" s="27"/>
    </row>
    <row r="468">
      <c r="C468" s="26"/>
      <c r="D468" s="27"/>
      <c r="E468" s="27"/>
      <c r="F468" s="27"/>
      <c r="G468" s="27"/>
      <c r="H468" s="27"/>
      <c r="I468" s="27"/>
      <c r="J468" s="27"/>
    </row>
    <row r="469">
      <c r="C469" s="26"/>
      <c r="D469" s="27"/>
      <c r="E469" s="27"/>
      <c r="F469" s="27"/>
      <c r="G469" s="27"/>
      <c r="H469" s="27"/>
      <c r="I469" s="27"/>
      <c r="J469" s="27"/>
    </row>
    <row r="470">
      <c r="C470" s="26"/>
      <c r="D470" s="27"/>
      <c r="E470" s="27"/>
      <c r="F470" s="27"/>
      <c r="G470" s="27"/>
      <c r="H470" s="27"/>
      <c r="I470" s="27"/>
      <c r="J470" s="27"/>
    </row>
    <row r="471">
      <c r="C471" s="26"/>
      <c r="D471" s="27"/>
      <c r="E471" s="27"/>
      <c r="F471" s="27"/>
      <c r="G471" s="27"/>
      <c r="H471" s="27"/>
      <c r="I471" s="27"/>
      <c r="J471" s="27"/>
    </row>
    <row r="472">
      <c r="C472" s="26"/>
      <c r="D472" s="27"/>
      <c r="E472" s="27"/>
      <c r="F472" s="27"/>
      <c r="G472" s="27"/>
      <c r="H472" s="27"/>
      <c r="I472" s="27"/>
      <c r="J472" s="27"/>
    </row>
    <row r="473">
      <c r="C473" s="26"/>
      <c r="D473" s="27"/>
      <c r="E473" s="27"/>
      <c r="F473" s="27"/>
      <c r="G473" s="27"/>
      <c r="H473" s="27"/>
      <c r="I473" s="27"/>
      <c r="J473" s="27"/>
    </row>
    <row r="474">
      <c r="C474" s="26"/>
      <c r="D474" s="27"/>
      <c r="E474" s="27"/>
      <c r="F474" s="27"/>
      <c r="G474" s="27"/>
      <c r="H474" s="27"/>
      <c r="I474" s="27"/>
      <c r="J474" s="27"/>
    </row>
    <row r="475">
      <c r="C475" s="26"/>
      <c r="D475" s="27"/>
      <c r="E475" s="27"/>
      <c r="F475" s="27"/>
      <c r="G475" s="27"/>
      <c r="H475" s="27"/>
      <c r="I475" s="27"/>
      <c r="J475" s="27"/>
    </row>
    <row r="476">
      <c r="C476" s="26"/>
      <c r="D476" s="27"/>
      <c r="E476" s="27"/>
      <c r="F476" s="27"/>
      <c r="G476" s="27"/>
      <c r="H476" s="27"/>
      <c r="I476" s="27"/>
      <c r="J476" s="27"/>
    </row>
    <row r="477">
      <c r="C477" s="26"/>
      <c r="D477" s="27"/>
      <c r="E477" s="27"/>
      <c r="F477" s="27"/>
      <c r="G477" s="27"/>
      <c r="H477" s="27"/>
      <c r="I477" s="27"/>
      <c r="J477" s="27"/>
    </row>
    <row r="478">
      <c r="C478" s="26"/>
      <c r="D478" s="27"/>
      <c r="E478" s="27"/>
      <c r="F478" s="27"/>
      <c r="G478" s="27"/>
      <c r="H478" s="27"/>
      <c r="I478" s="27"/>
      <c r="J478" s="27"/>
    </row>
    <row r="479">
      <c r="C479" s="26"/>
      <c r="D479" s="27"/>
      <c r="E479" s="27"/>
      <c r="F479" s="27"/>
      <c r="G479" s="27"/>
      <c r="H479" s="27"/>
      <c r="I479" s="27"/>
      <c r="J479" s="27"/>
    </row>
    <row r="480">
      <c r="C480" s="26"/>
      <c r="D480" s="27"/>
      <c r="E480" s="27"/>
      <c r="F480" s="27"/>
      <c r="G480" s="27"/>
      <c r="H480" s="27"/>
      <c r="I480" s="27"/>
      <c r="J480" s="27"/>
    </row>
    <row r="481">
      <c r="C481" s="26"/>
      <c r="D481" s="27"/>
      <c r="E481" s="27"/>
      <c r="F481" s="27"/>
      <c r="G481" s="27"/>
      <c r="H481" s="27"/>
      <c r="I481" s="27"/>
      <c r="J481" s="27"/>
    </row>
    <row r="482">
      <c r="C482" s="26"/>
      <c r="D482" s="27"/>
      <c r="E482" s="27"/>
      <c r="F482" s="27"/>
      <c r="G482" s="27"/>
      <c r="H482" s="27"/>
      <c r="I482" s="27"/>
      <c r="J482" s="27"/>
    </row>
    <row r="483">
      <c r="C483" s="26"/>
      <c r="D483" s="27"/>
      <c r="E483" s="27"/>
      <c r="F483" s="27"/>
      <c r="G483" s="27"/>
      <c r="H483" s="27"/>
      <c r="I483" s="27"/>
      <c r="J483" s="27"/>
    </row>
    <row r="484">
      <c r="C484" s="26"/>
      <c r="D484" s="27"/>
      <c r="E484" s="27"/>
      <c r="F484" s="27"/>
      <c r="G484" s="27"/>
      <c r="H484" s="27"/>
      <c r="I484" s="27"/>
      <c r="J484" s="27"/>
    </row>
    <row r="485">
      <c r="C485" s="26"/>
      <c r="D485" s="27"/>
      <c r="E485" s="27"/>
      <c r="F485" s="27"/>
      <c r="G485" s="27"/>
      <c r="H485" s="27"/>
      <c r="I485" s="27"/>
      <c r="J485" s="27"/>
    </row>
    <row r="486">
      <c r="C486" s="26"/>
      <c r="D486" s="27"/>
      <c r="E486" s="27"/>
      <c r="F486" s="27"/>
      <c r="G486" s="27"/>
      <c r="H486" s="27"/>
      <c r="I486" s="27"/>
      <c r="J486" s="27"/>
    </row>
    <row r="487">
      <c r="C487" s="26"/>
      <c r="D487" s="27"/>
      <c r="E487" s="27"/>
      <c r="F487" s="27"/>
      <c r="G487" s="27"/>
      <c r="H487" s="27"/>
      <c r="I487" s="27"/>
      <c r="J487" s="27"/>
    </row>
    <row r="488">
      <c r="C488" s="26"/>
      <c r="D488" s="27"/>
      <c r="E488" s="27"/>
      <c r="F488" s="27"/>
      <c r="G488" s="27"/>
      <c r="H488" s="27"/>
      <c r="I488" s="27"/>
      <c r="J488" s="27"/>
    </row>
    <row r="489">
      <c r="C489" s="26"/>
      <c r="D489" s="27"/>
      <c r="E489" s="27"/>
      <c r="F489" s="27"/>
      <c r="G489" s="27"/>
      <c r="H489" s="27"/>
      <c r="I489" s="27"/>
      <c r="J489" s="27"/>
    </row>
    <row r="490">
      <c r="C490" s="26"/>
      <c r="D490" s="27"/>
      <c r="E490" s="27"/>
      <c r="F490" s="27"/>
      <c r="G490" s="27"/>
      <c r="H490" s="27"/>
      <c r="I490" s="27"/>
      <c r="J490" s="27"/>
    </row>
    <row r="491">
      <c r="C491" s="26"/>
      <c r="D491" s="27"/>
      <c r="E491" s="27"/>
      <c r="F491" s="27"/>
      <c r="G491" s="27"/>
      <c r="H491" s="27"/>
      <c r="I491" s="27"/>
      <c r="J491" s="27"/>
    </row>
    <row r="492">
      <c r="C492" s="26"/>
      <c r="D492" s="27"/>
      <c r="E492" s="27"/>
      <c r="F492" s="27"/>
      <c r="G492" s="27"/>
      <c r="H492" s="27"/>
      <c r="I492" s="27"/>
      <c r="J492" s="27"/>
    </row>
    <row r="493">
      <c r="C493" s="26"/>
      <c r="D493" s="27"/>
      <c r="E493" s="27"/>
      <c r="F493" s="27"/>
      <c r="G493" s="27"/>
      <c r="H493" s="27"/>
      <c r="I493" s="27"/>
      <c r="J493" s="27"/>
    </row>
    <row r="494">
      <c r="C494" s="26"/>
      <c r="D494" s="27"/>
      <c r="E494" s="27"/>
      <c r="F494" s="27"/>
      <c r="G494" s="27"/>
      <c r="H494" s="27"/>
      <c r="I494" s="27"/>
      <c r="J494" s="27"/>
    </row>
    <row r="495">
      <c r="C495" s="26"/>
      <c r="D495" s="27"/>
      <c r="E495" s="27"/>
      <c r="F495" s="27"/>
      <c r="G495" s="27"/>
      <c r="H495" s="27"/>
      <c r="I495" s="27"/>
      <c r="J495" s="27"/>
    </row>
    <row r="496">
      <c r="C496" s="26"/>
      <c r="D496" s="27"/>
      <c r="E496" s="27"/>
      <c r="F496" s="27"/>
      <c r="G496" s="27"/>
      <c r="H496" s="27"/>
      <c r="I496" s="27"/>
      <c r="J496" s="27"/>
    </row>
    <row r="497">
      <c r="C497" s="26"/>
      <c r="D497" s="27"/>
      <c r="E497" s="27"/>
      <c r="F497" s="27"/>
      <c r="G497" s="27"/>
      <c r="H497" s="27"/>
      <c r="I497" s="27"/>
      <c r="J497" s="27"/>
    </row>
    <row r="498">
      <c r="C498" s="26"/>
      <c r="D498" s="27"/>
      <c r="E498" s="27"/>
      <c r="F498" s="27"/>
      <c r="G498" s="27"/>
      <c r="H498" s="27"/>
      <c r="I498" s="27"/>
      <c r="J498" s="27"/>
    </row>
    <row r="499">
      <c r="C499" s="26"/>
      <c r="D499" s="27"/>
      <c r="E499" s="27"/>
      <c r="F499" s="27"/>
      <c r="G499" s="27"/>
      <c r="H499" s="27"/>
      <c r="I499" s="27"/>
      <c r="J499" s="27"/>
    </row>
    <row r="500">
      <c r="C500" s="26"/>
      <c r="D500" s="27"/>
      <c r="E500" s="27"/>
      <c r="F500" s="27"/>
      <c r="G500" s="27"/>
      <c r="H500" s="27"/>
      <c r="I500" s="27"/>
      <c r="J500" s="27"/>
    </row>
    <row r="501">
      <c r="C501" s="26"/>
      <c r="D501" s="27"/>
      <c r="E501" s="27"/>
      <c r="F501" s="27"/>
      <c r="G501" s="27"/>
      <c r="H501" s="27"/>
      <c r="I501" s="27"/>
      <c r="J501" s="27"/>
    </row>
    <row r="502">
      <c r="C502" s="26"/>
      <c r="D502" s="27"/>
      <c r="E502" s="27"/>
      <c r="F502" s="27"/>
      <c r="G502" s="27"/>
      <c r="H502" s="27"/>
      <c r="I502" s="27"/>
      <c r="J502" s="27"/>
    </row>
    <row r="503">
      <c r="C503" s="26"/>
      <c r="D503" s="27"/>
      <c r="E503" s="27"/>
      <c r="F503" s="27"/>
      <c r="G503" s="27"/>
      <c r="H503" s="27"/>
      <c r="I503" s="27"/>
      <c r="J503" s="27"/>
    </row>
    <row r="504">
      <c r="C504" s="26"/>
      <c r="D504" s="27"/>
      <c r="E504" s="27"/>
      <c r="F504" s="27"/>
      <c r="G504" s="27"/>
      <c r="H504" s="27"/>
      <c r="I504" s="27"/>
      <c r="J504" s="27"/>
    </row>
    <row r="505">
      <c r="C505" s="26"/>
      <c r="D505" s="27"/>
      <c r="E505" s="27"/>
      <c r="F505" s="27"/>
      <c r="G505" s="27"/>
      <c r="H505" s="27"/>
      <c r="I505" s="27"/>
      <c r="J505" s="27"/>
    </row>
    <row r="506">
      <c r="C506" s="26"/>
      <c r="D506" s="27"/>
      <c r="E506" s="27"/>
      <c r="F506" s="27"/>
      <c r="G506" s="27"/>
      <c r="H506" s="27"/>
      <c r="I506" s="27"/>
      <c r="J506" s="27"/>
    </row>
    <row r="507">
      <c r="C507" s="26"/>
      <c r="D507" s="27"/>
      <c r="E507" s="27"/>
      <c r="F507" s="27"/>
      <c r="G507" s="27"/>
      <c r="H507" s="27"/>
      <c r="I507" s="27"/>
      <c r="J507" s="27"/>
    </row>
    <row r="508">
      <c r="C508" s="26"/>
      <c r="D508" s="27"/>
      <c r="E508" s="27"/>
      <c r="F508" s="27"/>
      <c r="G508" s="27"/>
      <c r="H508" s="27"/>
      <c r="I508" s="27"/>
      <c r="J508" s="27"/>
    </row>
    <row r="509">
      <c r="C509" s="26"/>
      <c r="D509" s="27"/>
      <c r="E509" s="27"/>
      <c r="F509" s="27"/>
      <c r="G509" s="27"/>
      <c r="H509" s="27"/>
      <c r="I509" s="27"/>
      <c r="J509" s="27"/>
    </row>
    <row r="510">
      <c r="C510" s="26"/>
      <c r="D510" s="27"/>
      <c r="E510" s="27"/>
      <c r="F510" s="27"/>
      <c r="G510" s="27"/>
      <c r="H510" s="27"/>
      <c r="I510" s="27"/>
      <c r="J510" s="27"/>
    </row>
    <row r="511">
      <c r="C511" s="26"/>
      <c r="D511" s="27"/>
      <c r="E511" s="27"/>
      <c r="F511" s="27"/>
      <c r="G511" s="27"/>
      <c r="H511" s="27"/>
      <c r="I511" s="27"/>
      <c r="J511" s="27"/>
    </row>
    <row r="512">
      <c r="C512" s="26"/>
      <c r="D512" s="27"/>
      <c r="E512" s="27"/>
      <c r="F512" s="27"/>
      <c r="G512" s="27"/>
      <c r="H512" s="27"/>
      <c r="I512" s="27"/>
      <c r="J512" s="27"/>
    </row>
    <row r="513">
      <c r="C513" s="26"/>
      <c r="D513" s="27"/>
      <c r="E513" s="27"/>
      <c r="F513" s="27"/>
      <c r="G513" s="27"/>
      <c r="H513" s="27"/>
      <c r="I513" s="27"/>
      <c r="J513" s="27"/>
    </row>
    <row r="514">
      <c r="C514" s="26"/>
      <c r="D514" s="27"/>
      <c r="E514" s="27"/>
      <c r="F514" s="27"/>
      <c r="G514" s="27"/>
      <c r="H514" s="27"/>
      <c r="I514" s="27"/>
      <c r="J514" s="27"/>
    </row>
    <row r="515">
      <c r="C515" s="26"/>
      <c r="D515" s="27"/>
      <c r="E515" s="27"/>
      <c r="F515" s="27"/>
      <c r="G515" s="27"/>
      <c r="H515" s="27"/>
      <c r="I515" s="27"/>
      <c r="J515" s="27"/>
    </row>
    <row r="516">
      <c r="C516" s="26"/>
      <c r="D516" s="27"/>
      <c r="E516" s="27"/>
      <c r="F516" s="27"/>
      <c r="G516" s="27"/>
      <c r="H516" s="27"/>
      <c r="I516" s="27"/>
      <c r="J516" s="27"/>
    </row>
    <row r="517">
      <c r="C517" s="26"/>
      <c r="D517" s="27"/>
      <c r="E517" s="27"/>
      <c r="F517" s="27"/>
      <c r="G517" s="27"/>
      <c r="H517" s="27"/>
      <c r="I517" s="27"/>
      <c r="J517" s="27"/>
    </row>
    <row r="518">
      <c r="C518" s="26"/>
      <c r="D518" s="27"/>
      <c r="E518" s="27"/>
      <c r="F518" s="27"/>
      <c r="G518" s="27"/>
      <c r="H518" s="27"/>
      <c r="I518" s="27"/>
      <c r="J518" s="27"/>
    </row>
    <row r="519">
      <c r="C519" s="26"/>
      <c r="D519" s="27"/>
      <c r="E519" s="27"/>
      <c r="F519" s="27"/>
      <c r="G519" s="27"/>
      <c r="H519" s="27"/>
      <c r="I519" s="27"/>
      <c r="J519" s="27"/>
    </row>
    <row r="520">
      <c r="C520" s="26"/>
      <c r="D520" s="27"/>
      <c r="E520" s="27"/>
      <c r="F520" s="27"/>
      <c r="G520" s="27"/>
      <c r="H520" s="27"/>
      <c r="I520" s="27"/>
      <c r="J520" s="27"/>
    </row>
    <row r="521">
      <c r="C521" s="26"/>
      <c r="D521" s="27"/>
      <c r="E521" s="27"/>
      <c r="F521" s="27"/>
      <c r="G521" s="27"/>
      <c r="H521" s="27"/>
      <c r="I521" s="27"/>
      <c r="J521" s="27"/>
    </row>
    <row r="522">
      <c r="C522" s="26"/>
      <c r="D522" s="27"/>
      <c r="E522" s="27"/>
      <c r="F522" s="27"/>
      <c r="G522" s="27"/>
      <c r="H522" s="27"/>
      <c r="I522" s="27"/>
      <c r="J522" s="27"/>
    </row>
    <row r="523">
      <c r="C523" s="26"/>
      <c r="D523" s="27"/>
      <c r="E523" s="27"/>
      <c r="F523" s="27"/>
      <c r="G523" s="27"/>
      <c r="H523" s="27"/>
      <c r="I523" s="27"/>
      <c r="J523" s="27"/>
    </row>
    <row r="524">
      <c r="C524" s="26"/>
      <c r="D524" s="27"/>
      <c r="E524" s="27"/>
      <c r="F524" s="27"/>
      <c r="G524" s="27"/>
      <c r="H524" s="27"/>
      <c r="I524" s="27"/>
      <c r="J524" s="27"/>
    </row>
    <row r="525">
      <c r="C525" s="26"/>
      <c r="D525" s="27"/>
      <c r="E525" s="27"/>
      <c r="F525" s="27"/>
      <c r="G525" s="27"/>
      <c r="H525" s="27"/>
      <c r="I525" s="27"/>
      <c r="J525" s="27"/>
    </row>
    <row r="526">
      <c r="C526" s="26"/>
      <c r="D526" s="27"/>
      <c r="E526" s="27"/>
      <c r="F526" s="27"/>
      <c r="G526" s="27"/>
      <c r="H526" s="27"/>
      <c r="I526" s="27"/>
      <c r="J526" s="27"/>
    </row>
    <row r="527">
      <c r="C527" s="26"/>
      <c r="D527" s="27"/>
      <c r="E527" s="27"/>
      <c r="F527" s="27"/>
      <c r="G527" s="27"/>
      <c r="H527" s="27"/>
      <c r="I527" s="27"/>
      <c r="J527" s="27"/>
    </row>
    <row r="528">
      <c r="C528" s="26"/>
      <c r="D528" s="27"/>
      <c r="E528" s="27"/>
      <c r="F528" s="27"/>
      <c r="G528" s="27"/>
      <c r="H528" s="27"/>
      <c r="I528" s="27"/>
      <c r="J528" s="27"/>
    </row>
    <row r="529">
      <c r="C529" s="26"/>
      <c r="D529" s="27"/>
      <c r="E529" s="27"/>
      <c r="F529" s="27"/>
      <c r="G529" s="27"/>
      <c r="H529" s="27"/>
      <c r="I529" s="27"/>
      <c r="J529" s="27"/>
    </row>
    <row r="530">
      <c r="C530" s="26"/>
      <c r="D530" s="27"/>
      <c r="E530" s="27"/>
      <c r="F530" s="27"/>
      <c r="G530" s="27"/>
      <c r="H530" s="27"/>
      <c r="I530" s="27"/>
      <c r="J530" s="27"/>
    </row>
    <row r="531">
      <c r="C531" s="26"/>
      <c r="D531" s="27"/>
      <c r="E531" s="27"/>
      <c r="F531" s="27"/>
      <c r="G531" s="27"/>
      <c r="H531" s="27"/>
      <c r="I531" s="27"/>
      <c r="J531" s="27"/>
    </row>
    <row r="532">
      <c r="C532" s="26"/>
      <c r="D532" s="27"/>
      <c r="E532" s="27"/>
      <c r="F532" s="27"/>
      <c r="G532" s="27"/>
      <c r="H532" s="27"/>
      <c r="I532" s="27"/>
      <c r="J532" s="27"/>
    </row>
    <row r="533">
      <c r="C533" s="26"/>
      <c r="D533" s="27"/>
      <c r="E533" s="27"/>
      <c r="F533" s="27"/>
      <c r="G533" s="27"/>
      <c r="H533" s="27"/>
      <c r="I533" s="27"/>
      <c r="J533" s="27"/>
    </row>
    <row r="534">
      <c r="C534" s="26"/>
      <c r="D534" s="27"/>
      <c r="E534" s="27"/>
      <c r="F534" s="27"/>
      <c r="G534" s="27"/>
      <c r="H534" s="27"/>
      <c r="I534" s="27"/>
      <c r="J534" s="27"/>
    </row>
    <row r="535">
      <c r="C535" s="26"/>
      <c r="D535" s="27"/>
      <c r="E535" s="27"/>
      <c r="F535" s="27"/>
      <c r="G535" s="27"/>
      <c r="H535" s="27"/>
      <c r="I535" s="27"/>
      <c r="J535" s="27"/>
    </row>
    <row r="536">
      <c r="C536" s="26"/>
      <c r="D536" s="27"/>
      <c r="E536" s="27"/>
      <c r="F536" s="27"/>
      <c r="G536" s="27"/>
      <c r="H536" s="27"/>
      <c r="I536" s="27"/>
      <c r="J536" s="27"/>
    </row>
    <row r="537">
      <c r="C537" s="26"/>
      <c r="D537" s="27"/>
      <c r="E537" s="27"/>
      <c r="F537" s="27"/>
      <c r="G537" s="27"/>
      <c r="H537" s="27"/>
      <c r="I537" s="27"/>
      <c r="J537" s="27"/>
    </row>
    <row r="538">
      <c r="C538" s="26"/>
      <c r="D538" s="27"/>
      <c r="E538" s="27"/>
      <c r="F538" s="27"/>
      <c r="G538" s="27"/>
      <c r="H538" s="27"/>
      <c r="I538" s="27"/>
      <c r="J538" s="27"/>
    </row>
    <row r="539">
      <c r="C539" s="26"/>
      <c r="D539" s="27"/>
      <c r="E539" s="27"/>
      <c r="F539" s="27"/>
      <c r="G539" s="27"/>
      <c r="H539" s="27"/>
      <c r="I539" s="27"/>
      <c r="J539" s="27"/>
    </row>
    <row r="540">
      <c r="C540" s="26"/>
      <c r="D540" s="27"/>
      <c r="E540" s="27"/>
      <c r="F540" s="27"/>
      <c r="G540" s="27"/>
      <c r="H540" s="27"/>
      <c r="I540" s="27"/>
      <c r="J540" s="27"/>
    </row>
    <row r="541">
      <c r="C541" s="26"/>
      <c r="D541" s="27"/>
      <c r="E541" s="27"/>
      <c r="F541" s="27"/>
      <c r="G541" s="27"/>
      <c r="H541" s="27"/>
      <c r="I541" s="27"/>
      <c r="J541" s="27"/>
    </row>
    <row r="542">
      <c r="C542" s="26"/>
      <c r="D542" s="27"/>
      <c r="E542" s="27"/>
      <c r="F542" s="27"/>
      <c r="G542" s="27"/>
      <c r="H542" s="27"/>
      <c r="I542" s="27"/>
      <c r="J542" s="27"/>
    </row>
    <row r="543">
      <c r="C543" s="26"/>
      <c r="D543" s="27"/>
      <c r="E543" s="27"/>
      <c r="F543" s="27"/>
      <c r="G543" s="27"/>
      <c r="H543" s="27"/>
      <c r="I543" s="27"/>
      <c r="J543" s="27"/>
    </row>
    <row r="544">
      <c r="C544" s="26"/>
      <c r="D544" s="27"/>
      <c r="E544" s="27"/>
      <c r="F544" s="27"/>
      <c r="G544" s="27"/>
      <c r="H544" s="27"/>
      <c r="I544" s="27"/>
      <c r="J544" s="27"/>
    </row>
    <row r="545">
      <c r="C545" s="26"/>
      <c r="D545" s="27"/>
      <c r="E545" s="27"/>
      <c r="F545" s="27"/>
      <c r="G545" s="27"/>
      <c r="H545" s="27"/>
      <c r="I545" s="27"/>
      <c r="J545" s="27"/>
    </row>
    <row r="546">
      <c r="C546" s="26"/>
      <c r="D546" s="27"/>
      <c r="E546" s="27"/>
      <c r="F546" s="27"/>
      <c r="G546" s="27"/>
      <c r="H546" s="27"/>
      <c r="I546" s="27"/>
      <c r="J546" s="27"/>
    </row>
    <row r="547">
      <c r="C547" s="26"/>
      <c r="D547" s="27"/>
      <c r="E547" s="27"/>
      <c r="F547" s="27"/>
      <c r="G547" s="27"/>
      <c r="H547" s="27"/>
      <c r="I547" s="27"/>
      <c r="J547" s="27"/>
    </row>
    <row r="548">
      <c r="C548" s="26"/>
      <c r="D548" s="27"/>
      <c r="E548" s="27"/>
      <c r="F548" s="27"/>
      <c r="G548" s="27"/>
      <c r="H548" s="27"/>
      <c r="I548" s="27"/>
      <c r="J548" s="27"/>
    </row>
    <row r="549">
      <c r="C549" s="26"/>
      <c r="D549" s="27"/>
      <c r="E549" s="27"/>
      <c r="F549" s="27"/>
      <c r="G549" s="27"/>
      <c r="H549" s="27"/>
      <c r="I549" s="27"/>
      <c r="J549" s="27"/>
    </row>
    <row r="550">
      <c r="C550" s="26"/>
      <c r="D550" s="27"/>
      <c r="E550" s="27"/>
      <c r="F550" s="27"/>
      <c r="G550" s="27"/>
      <c r="H550" s="27"/>
      <c r="I550" s="27"/>
      <c r="J550" s="27"/>
    </row>
    <row r="551">
      <c r="C551" s="26"/>
      <c r="D551" s="27"/>
      <c r="E551" s="27"/>
      <c r="F551" s="27"/>
      <c r="G551" s="27"/>
      <c r="H551" s="27"/>
      <c r="I551" s="27"/>
      <c r="J551" s="27"/>
    </row>
    <row r="552">
      <c r="C552" s="26"/>
      <c r="D552" s="27"/>
      <c r="E552" s="27"/>
      <c r="F552" s="27"/>
      <c r="G552" s="27"/>
      <c r="H552" s="27"/>
      <c r="I552" s="27"/>
      <c r="J552" s="27"/>
    </row>
    <row r="553">
      <c r="C553" s="26"/>
      <c r="D553" s="27"/>
      <c r="E553" s="27"/>
      <c r="F553" s="27"/>
      <c r="G553" s="27"/>
      <c r="H553" s="27"/>
      <c r="I553" s="27"/>
      <c r="J553" s="27"/>
    </row>
    <row r="554">
      <c r="C554" s="26"/>
      <c r="D554" s="27"/>
      <c r="E554" s="27"/>
      <c r="F554" s="27"/>
      <c r="G554" s="27"/>
      <c r="H554" s="27"/>
      <c r="I554" s="27"/>
      <c r="J554" s="27"/>
    </row>
    <row r="555">
      <c r="C555" s="26"/>
      <c r="D555" s="27"/>
      <c r="E555" s="27"/>
      <c r="F555" s="27"/>
      <c r="G555" s="27"/>
      <c r="H555" s="27"/>
      <c r="I555" s="27"/>
      <c r="J555" s="27"/>
    </row>
    <row r="556">
      <c r="C556" s="26"/>
      <c r="D556" s="27"/>
      <c r="E556" s="27"/>
      <c r="F556" s="27"/>
      <c r="G556" s="27"/>
      <c r="H556" s="27"/>
      <c r="I556" s="27"/>
      <c r="J556" s="27"/>
    </row>
    <row r="557">
      <c r="C557" s="26"/>
      <c r="D557" s="27"/>
      <c r="E557" s="27"/>
      <c r="F557" s="27"/>
      <c r="G557" s="27"/>
      <c r="H557" s="27"/>
      <c r="I557" s="27"/>
      <c r="J557" s="27"/>
    </row>
    <row r="558">
      <c r="C558" s="26"/>
      <c r="D558" s="27"/>
      <c r="E558" s="27"/>
      <c r="F558" s="27"/>
      <c r="G558" s="27"/>
      <c r="H558" s="27"/>
      <c r="I558" s="27"/>
      <c r="J558" s="27"/>
    </row>
    <row r="559">
      <c r="C559" s="26"/>
      <c r="D559" s="27"/>
      <c r="E559" s="27"/>
      <c r="F559" s="27"/>
      <c r="G559" s="27"/>
      <c r="H559" s="27"/>
      <c r="I559" s="27"/>
      <c r="J559" s="27"/>
    </row>
    <row r="560">
      <c r="C560" s="26"/>
      <c r="D560" s="27"/>
      <c r="E560" s="27"/>
      <c r="F560" s="27"/>
      <c r="G560" s="27"/>
      <c r="H560" s="27"/>
      <c r="I560" s="27"/>
      <c r="J560" s="27"/>
    </row>
    <row r="561">
      <c r="C561" s="26"/>
      <c r="D561" s="27"/>
      <c r="E561" s="27"/>
      <c r="F561" s="27"/>
      <c r="G561" s="27"/>
      <c r="H561" s="27"/>
      <c r="I561" s="27"/>
      <c r="J561" s="27"/>
    </row>
    <row r="562">
      <c r="C562" s="26"/>
      <c r="D562" s="27"/>
      <c r="E562" s="27"/>
      <c r="F562" s="27"/>
      <c r="G562" s="27"/>
      <c r="H562" s="27"/>
      <c r="I562" s="27"/>
      <c r="J562" s="27"/>
    </row>
    <row r="563">
      <c r="C563" s="26"/>
      <c r="D563" s="27"/>
      <c r="E563" s="27"/>
      <c r="F563" s="27"/>
      <c r="G563" s="27"/>
      <c r="H563" s="27"/>
      <c r="I563" s="27"/>
      <c r="J563" s="27"/>
    </row>
    <row r="564">
      <c r="C564" s="26"/>
      <c r="D564" s="27"/>
      <c r="E564" s="27"/>
      <c r="F564" s="27"/>
      <c r="G564" s="27"/>
      <c r="H564" s="27"/>
      <c r="I564" s="27"/>
      <c r="J564" s="27"/>
    </row>
    <row r="565">
      <c r="C565" s="26"/>
      <c r="D565" s="27"/>
      <c r="E565" s="27"/>
      <c r="F565" s="27"/>
      <c r="G565" s="27"/>
      <c r="H565" s="27"/>
      <c r="I565" s="27"/>
      <c r="J565" s="27"/>
    </row>
    <row r="566">
      <c r="C566" s="26"/>
      <c r="D566" s="27"/>
      <c r="E566" s="27"/>
      <c r="F566" s="27"/>
      <c r="G566" s="27"/>
      <c r="H566" s="27"/>
      <c r="I566" s="27"/>
      <c r="J566" s="27"/>
    </row>
    <row r="567">
      <c r="C567" s="26"/>
      <c r="D567" s="27"/>
      <c r="E567" s="27"/>
      <c r="F567" s="27"/>
      <c r="G567" s="27"/>
      <c r="H567" s="27"/>
      <c r="I567" s="27"/>
      <c r="J567" s="27"/>
    </row>
    <row r="568">
      <c r="C568" s="26"/>
      <c r="D568" s="27"/>
      <c r="E568" s="27"/>
      <c r="F568" s="27"/>
      <c r="G568" s="27"/>
      <c r="H568" s="27"/>
      <c r="I568" s="27"/>
      <c r="J568" s="27"/>
    </row>
    <row r="569">
      <c r="C569" s="26"/>
      <c r="D569" s="27"/>
      <c r="E569" s="27"/>
      <c r="F569" s="27"/>
      <c r="G569" s="27"/>
      <c r="H569" s="27"/>
      <c r="I569" s="27"/>
      <c r="J569" s="27"/>
    </row>
    <row r="570">
      <c r="C570" s="26"/>
      <c r="D570" s="27"/>
      <c r="E570" s="27"/>
      <c r="F570" s="27"/>
      <c r="G570" s="27"/>
      <c r="H570" s="27"/>
      <c r="I570" s="27"/>
      <c r="J570" s="27"/>
    </row>
    <row r="571">
      <c r="C571" s="26"/>
      <c r="D571" s="27"/>
      <c r="E571" s="27"/>
      <c r="F571" s="27"/>
      <c r="G571" s="27"/>
      <c r="H571" s="27"/>
      <c r="I571" s="27"/>
      <c r="J571" s="27"/>
    </row>
    <row r="572">
      <c r="C572" s="26"/>
      <c r="D572" s="27"/>
      <c r="E572" s="27"/>
      <c r="F572" s="27"/>
      <c r="G572" s="27"/>
      <c r="H572" s="27"/>
      <c r="I572" s="27"/>
      <c r="J572" s="27"/>
    </row>
    <row r="573">
      <c r="C573" s="26"/>
      <c r="D573" s="27"/>
      <c r="E573" s="27"/>
      <c r="F573" s="27"/>
      <c r="G573" s="27"/>
      <c r="H573" s="27"/>
      <c r="I573" s="27"/>
      <c r="J573" s="27"/>
    </row>
    <row r="574">
      <c r="C574" s="26"/>
      <c r="D574" s="27"/>
      <c r="E574" s="27"/>
      <c r="F574" s="27"/>
      <c r="G574" s="27"/>
      <c r="H574" s="27"/>
      <c r="I574" s="27"/>
      <c r="J574" s="27"/>
    </row>
    <row r="575">
      <c r="C575" s="26"/>
      <c r="D575" s="27"/>
      <c r="E575" s="27"/>
      <c r="F575" s="27"/>
      <c r="G575" s="27"/>
      <c r="H575" s="27"/>
      <c r="I575" s="27"/>
      <c r="J575" s="27"/>
    </row>
    <row r="576">
      <c r="C576" s="26"/>
      <c r="D576" s="27"/>
      <c r="E576" s="27"/>
      <c r="F576" s="27"/>
      <c r="G576" s="27"/>
      <c r="H576" s="27"/>
      <c r="I576" s="27"/>
      <c r="J576" s="27"/>
    </row>
    <row r="577">
      <c r="C577" s="26"/>
      <c r="D577" s="27"/>
      <c r="E577" s="27"/>
      <c r="F577" s="27"/>
      <c r="G577" s="27"/>
      <c r="H577" s="27"/>
      <c r="I577" s="27"/>
      <c r="J577" s="27"/>
    </row>
    <row r="578">
      <c r="C578" s="26"/>
      <c r="D578" s="27"/>
      <c r="E578" s="27"/>
      <c r="F578" s="27"/>
      <c r="G578" s="27"/>
      <c r="H578" s="27"/>
      <c r="I578" s="27"/>
      <c r="J578" s="27"/>
    </row>
    <row r="579">
      <c r="C579" s="26"/>
      <c r="D579" s="27"/>
      <c r="E579" s="27"/>
      <c r="F579" s="27"/>
      <c r="G579" s="27"/>
      <c r="H579" s="27"/>
      <c r="I579" s="27"/>
      <c r="J579" s="27"/>
    </row>
    <row r="580">
      <c r="C580" s="26"/>
      <c r="D580" s="27"/>
      <c r="E580" s="27"/>
      <c r="F580" s="27"/>
      <c r="G580" s="27"/>
      <c r="H580" s="27"/>
      <c r="I580" s="27"/>
      <c r="J580" s="27"/>
    </row>
    <row r="581">
      <c r="C581" s="26"/>
      <c r="D581" s="27"/>
      <c r="E581" s="27"/>
      <c r="F581" s="27"/>
      <c r="G581" s="27"/>
      <c r="H581" s="27"/>
      <c r="I581" s="27"/>
      <c r="J581" s="27"/>
    </row>
    <row r="582">
      <c r="C582" s="26"/>
      <c r="D582" s="27"/>
      <c r="E582" s="27"/>
      <c r="F582" s="27"/>
      <c r="G582" s="27"/>
      <c r="H582" s="27"/>
      <c r="I582" s="27"/>
      <c r="J582" s="27"/>
    </row>
    <row r="583">
      <c r="C583" s="26"/>
      <c r="D583" s="27"/>
      <c r="E583" s="27"/>
      <c r="F583" s="27"/>
      <c r="G583" s="27"/>
      <c r="H583" s="27"/>
      <c r="I583" s="27"/>
      <c r="J583" s="27"/>
    </row>
    <row r="584">
      <c r="C584" s="26"/>
      <c r="D584" s="27"/>
      <c r="E584" s="27"/>
      <c r="F584" s="27"/>
      <c r="G584" s="27"/>
      <c r="H584" s="27"/>
      <c r="I584" s="27"/>
      <c r="J584" s="27"/>
    </row>
    <row r="585">
      <c r="C585" s="26"/>
      <c r="D585" s="27"/>
      <c r="E585" s="27"/>
      <c r="F585" s="27"/>
      <c r="G585" s="27"/>
      <c r="H585" s="27"/>
      <c r="I585" s="27"/>
      <c r="J585" s="27"/>
    </row>
    <row r="586">
      <c r="C586" s="26"/>
      <c r="D586" s="27"/>
      <c r="E586" s="27"/>
      <c r="F586" s="27"/>
      <c r="G586" s="27"/>
      <c r="H586" s="27"/>
      <c r="I586" s="27"/>
      <c r="J586" s="27"/>
    </row>
    <row r="587">
      <c r="C587" s="26"/>
      <c r="D587" s="27"/>
      <c r="E587" s="27"/>
      <c r="F587" s="27"/>
      <c r="G587" s="27"/>
      <c r="H587" s="27"/>
      <c r="I587" s="27"/>
      <c r="J587" s="27"/>
    </row>
    <row r="588">
      <c r="C588" s="26"/>
      <c r="D588" s="27"/>
      <c r="E588" s="27"/>
      <c r="F588" s="27"/>
      <c r="G588" s="27"/>
      <c r="H588" s="27"/>
      <c r="I588" s="27"/>
      <c r="J588" s="27"/>
    </row>
    <row r="589">
      <c r="C589" s="26"/>
      <c r="D589" s="27"/>
      <c r="E589" s="27"/>
      <c r="F589" s="27"/>
      <c r="G589" s="27"/>
      <c r="H589" s="27"/>
      <c r="I589" s="27"/>
      <c r="J589" s="27"/>
    </row>
    <row r="590">
      <c r="C590" s="26"/>
      <c r="D590" s="27"/>
      <c r="E590" s="27"/>
      <c r="F590" s="27"/>
      <c r="G590" s="27"/>
      <c r="H590" s="27"/>
      <c r="I590" s="27"/>
      <c r="J590" s="27"/>
    </row>
    <row r="591">
      <c r="C591" s="26"/>
      <c r="D591" s="27"/>
      <c r="E591" s="27"/>
      <c r="F591" s="27"/>
      <c r="G591" s="27"/>
      <c r="H591" s="27"/>
      <c r="I591" s="27"/>
      <c r="J591" s="27"/>
    </row>
    <row r="592">
      <c r="C592" s="26"/>
      <c r="D592" s="27"/>
      <c r="E592" s="27"/>
      <c r="F592" s="27"/>
      <c r="G592" s="27"/>
      <c r="H592" s="27"/>
      <c r="I592" s="27"/>
      <c r="J592" s="27"/>
    </row>
    <row r="593">
      <c r="C593" s="26"/>
      <c r="D593" s="27"/>
      <c r="E593" s="27"/>
      <c r="F593" s="27"/>
      <c r="G593" s="27"/>
      <c r="H593" s="27"/>
      <c r="I593" s="27"/>
      <c r="J593" s="27"/>
    </row>
    <row r="594">
      <c r="C594" s="26"/>
      <c r="D594" s="27"/>
      <c r="E594" s="27"/>
      <c r="F594" s="27"/>
      <c r="G594" s="27"/>
      <c r="H594" s="27"/>
      <c r="I594" s="27"/>
      <c r="J594" s="27"/>
    </row>
    <row r="595">
      <c r="C595" s="26"/>
      <c r="D595" s="27"/>
      <c r="E595" s="27"/>
      <c r="F595" s="27"/>
      <c r="G595" s="27"/>
      <c r="H595" s="27"/>
      <c r="I595" s="27"/>
      <c r="J595" s="27"/>
    </row>
    <row r="596">
      <c r="C596" s="26"/>
      <c r="D596" s="27"/>
      <c r="E596" s="27"/>
      <c r="F596" s="27"/>
      <c r="G596" s="27"/>
      <c r="H596" s="27"/>
      <c r="I596" s="27"/>
      <c r="J596" s="27"/>
    </row>
    <row r="597">
      <c r="C597" s="26"/>
      <c r="D597" s="27"/>
      <c r="E597" s="27"/>
      <c r="F597" s="27"/>
      <c r="G597" s="27"/>
      <c r="H597" s="27"/>
      <c r="I597" s="27"/>
      <c r="J597" s="27"/>
    </row>
    <row r="598">
      <c r="C598" s="26"/>
      <c r="D598" s="27"/>
      <c r="E598" s="27"/>
      <c r="F598" s="27"/>
      <c r="G598" s="27"/>
      <c r="H598" s="27"/>
      <c r="I598" s="27"/>
      <c r="J598" s="27"/>
    </row>
    <row r="599">
      <c r="C599" s="26"/>
      <c r="D599" s="27"/>
      <c r="E599" s="27"/>
      <c r="F599" s="27"/>
      <c r="G599" s="27"/>
      <c r="H599" s="27"/>
      <c r="I599" s="27"/>
      <c r="J599" s="27"/>
    </row>
    <row r="600">
      <c r="C600" s="26"/>
      <c r="D600" s="27"/>
      <c r="E600" s="27"/>
      <c r="F600" s="27"/>
      <c r="G600" s="27"/>
      <c r="H600" s="27"/>
      <c r="I600" s="27"/>
      <c r="J600" s="27"/>
    </row>
    <row r="601">
      <c r="C601" s="26"/>
      <c r="D601" s="27"/>
      <c r="E601" s="27"/>
      <c r="F601" s="27"/>
      <c r="G601" s="27"/>
      <c r="H601" s="27"/>
      <c r="I601" s="27"/>
      <c r="J601" s="27"/>
    </row>
    <row r="602">
      <c r="C602" s="26"/>
      <c r="D602" s="27"/>
      <c r="E602" s="27"/>
      <c r="F602" s="27"/>
      <c r="G602" s="27"/>
      <c r="H602" s="27"/>
      <c r="I602" s="27"/>
      <c r="J602" s="27"/>
    </row>
    <row r="603">
      <c r="C603" s="26"/>
      <c r="D603" s="27"/>
      <c r="E603" s="27"/>
      <c r="F603" s="27"/>
      <c r="G603" s="27"/>
      <c r="H603" s="27"/>
      <c r="I603" s="27"/>
      <c r="J603" s="27"/>
    </row>
    <row r="604">
      <c r="C604" s="26"/>
      <c r="D604" s="27"/>
      <c r="E604" s="27"/>
      <c r="F604" s="27"/>
      <c r="G604" s="27"/>
      <c r="H604" s="27"/>
      <c r="I604" s="27"/>
      <c r="J604" s="27"/>
    </row>
    <row r="605">
      <c r="C605" s="26"/>
      <c r="D605" s="27"/>
      <c r="E605" s="27"/>
      <c r="F605" s="27"/>
      <c r="G605" s="27"/>
      <c r="H605" s="27"/>
      <c r="I605" s="27"/>
      <c r="J605" s="27"/>
    </row>
    <row r="606">
      <c r="C606" s="26"/>
      <c r="D606" s="27"/>
      <c r="E606" s="27"/>
      <c r="F606" s="27"/>
      <c r="G606" s="27"/>
      <c r="H606" s="27"/>
      <c r="I606" s="27"/>
      <c r="J606" s="27"/>
    </row>
    <row r="607">
      <c r="C607" s="26"/>
      <c r="D607" s="27"/>
      <c r="E607" s="27"/>
      <c r="F607" s="27"/>
      <c r="G607" s="27"/>
      <c r="H607" s="27"/>
      <c r="I607" s="27"/>
      <c r="J607" s="27"/>
    </row>
    <row r="608">
      <c r="C608" s="26"/>
      <c r="D608" s="27"/>
      <c r="E608" s="27"/>
      <c r="F608" s="27"/>
      <c r="G608" s="27"/>
      <c r="H608" s="27"/>
      <c r="I608" s="27"/>
      <c r="J608" s="27"/>
    </row>
    <row r="609">
      <c r="C609" s="26"/>
      <c r="D609" s="27"/>
      <c r="E609" s="27"/>
      <c r="F609" s="27"/>
      <c r="G609" s="27"/>
      <c r="H609" s="27"/>
      <c r="I609" s="27"/>
      <c r="J609" s="27"/>
    </row>
    <row r="610">
      <c r="C610" s="26"/>
      <c r="D610" s="27"/>
      <c r="E610" s="27"/>
      <c r="F610" s="27"/>
      <c r="G610" s="27"/>
      <c r="H610" s="27"/>
      <c r="I610" s="27"/>
      <c r="J610" s="27"/>
    </row>
    <row r="611">
      <c r="C611" s="26"/>
      <c r="D611" s="27"/>
      <c r="E611" s="27"/>
      <c r="F611" s="27"/>
      <c r="G611" s="27"/>
      <c r="H611" s="27"/>
      <c r="I611" s="27"/>
      <c r="J611" s="27"/>
    </row>
    <row r="612">
      <c r="C612" s="26"/>
      <c r="D612" s="27"/>
      <c r="E612" s="27"/>
      <c r="F612" s="27"/>
      <c r="G612" s="27"/>
      <c r="H612" s="27"/>
      <c r="I612" s="27"/>
      <c r="J612" s="27"/>
    </row>
    <row r="613">
      <c r="C613" s="26"/>
      <c r="D613" s="27"/>
      <c r="E613" s="27"/>
      <c r="F613" s="27"/>
      <c r="G613" s="27"/>
      <c r="H613" s="27"/>
      <c r="I613" s="27"/>
      <c r="J613" s="27"/>
    </row>
    <row r="614">
      <c r="C614" s="26"/>
      <c r="D614" s="27"/>
      <c r="E614" s="27"/>
      <c r="F614" s="27"/>
      <c r="G614" s="27"/>
      <c r="H614" s="27"/>
      <c r="I614" s="27"/>
      <c r="J614" s="27"/>
    </row>
    <row r="615">
      <c r="C615" s="26"/>
      <c r="D615" s="27"/>
      <c r="E615" s="27"/>
      <c r="F615" s="27"/>
      <c r="G615" s="27"/>
      <c r="H615" s="27"/>
      <c r="I615" s="27"/>
      <c r="J615" s="27"/>
    </row>
    <row r="616">
      <c r="C616" s="26"/>
      <c r="D616" s="27"/>
      <c r="E616" s="27"/>
      <c r="F616" s="27"/>
      <c r="G616" s="27"/>
      <c r="H616" s="27"/>
      <c r="I616" s="27"/>
      <c r="J616" s="27"/>
    </row>
    <row r="617">
      <c r="C617" s="26"/>
      <c r="D617" s="27"/>
      <c r="E617" s="27"/>
      <c r="F617" s="27"/>
      <c r="G617" s="27"/>
      <c r="H617" s="27"/>
      <c r="I617" s="27"/>
      <c r="J617" s="27"/>
    </row>
    <row r="618">
      <c r="C618" s="26"/>
      <c r="D618" s="27"/>
      <c r="E618" s="27"/>
      <c r="F618" s="27"/>
      <c r="G618" s="27"/>
      <c r="H618" s="27"/>
      <c r="I618" s="27"/>
      <c r="J618" s="27"/>
    </row>
    <row r="619">
      <c r="C619" s="26"/>
      <c r="D619" s="27"/>
      <c r="E619" s="27"/>
      <c r="F619" s="27"/>
      <c r="G619" s="27"/>
      <c r="H619" s="27"/>
      <c r="I619" s="27"/>
      <c r="J619" s="27"/>
    </row>
    <row r="620">
      <c r="C620" s="26"/>
      <c r="D620" s="27"/>
      <c r="E620" s="27"/>
      <c r="F620" s="27"/>
      <c r="G620" s="27"/>
      <c r="H620" s="27"/>
      <c r="I620" s="27"/>
      <c r="J620" s="27"/>
    </row>
    <row r="621">
      <c r="C621" s="26"/>
      <c r="D621" s="27"/>
      <c r="E621" s="27"/>
      <c r="F621" s="27"/>
      <c r="G621" s="27"/>
      <c r="H621" s="27"/>
      <c r="I621" s="27"/>
      <c r="J621" s="27"/>
    </row>
    <row r="622">
      <c r="C622" s="26"/>
      <c r="D622" s="27"/>
      <c r="E622" s="27"/>
      <c r="F622" s="27"/>
      <c r="G622" s="27"/>
      <c r="H622" s="27"/>
      <c r="I622" s="27"/>
      <c r="J622" s="27"/>
    </row>
    <row r="623">
      <c r="C623" s="26"/>
      <c r="D623" s="27"/>
      <c r="E623" s="27"/>
      <c r="F623" s="27"/>
      <c r="G623" s="27"/>
      <c r="H623" s="27"/>
      <c r="I623" s="27"/>
      <c r="J623" s="27"/>
    </row>
    <row r="624">
      <c r="C624" s="26"/>
      <c r="D624" s="27"/>
      <c r="E624" s="27"/>
      <c r="F624" s="27"/>
      <c r="G624" s="27"/>
      <c r="H624" s="27"/>
      <c r="I624" s="27"/>
      <c r="J624" s="27"/>
    </row>
    <row r="625">
      <c r="C625" s="26"/>
      <c r="D625" s="27"/>
      <c r="E625" s="27"/>
      <c r="F625" s="27"/>
      <c r="G625" s="27"/>
      <c r="H625" s="27"/>
      <c r="I625" s="27"/>
      <c r="J625" s="27"/>
    </row>
    <row r="626">
      <c r="C626" s="26"/>
      <c r="D626" s="27"/>
      <c r="E626" s="27"/>
      <c r="F626" s="27"/>
      <c r="G626" s="27"/>
      <c r="H626" s="27"/>
      <c r="I626" s="27"/>
      <c r="J626" s="27"/>
    </row>
    <row r="627">
      <c r="C627" s="26"/>
      <c r="D627" s="27"/>
      <c r="E627" s="27"/>
      <c r="F627" s="27"/>
      <c r="G627" s="27"/>
      <c r="H627" s="27"/>
      <c r="I627" s="27"/>
      <c r="J627" s="27"/>
    </row>
    <row r="628">
      <c r="C628" s="26"/>
      <c r="D628" s="27"/>
      <c r="E628" s="27"/>
      <c r="F628" s="27"/>
      <c r="G628" s="27"/>
      <c r="H628" s="27"/>
      <c r="I628" s="27"/>
      <c r="J628" s="27"/>
    </row>
    <row r="629">
      <c r="C629" s="26"/>
      <c r="D629" s="27"/>
      <c r="E629" s="27"/>
      <c r="F629" s="27"/>
      <c r="G629" s="27"/>
      <c r="H629" s="27"/>
      <c r="I629" s="27"/>
      <c r="J629" s="27"/>
    </row>
    <row r="630">
      <c r="C630" s="26"/>
      <c r="D630" s="27"/>
      <c r="E630" s="27"/>
      <c r="F630" s="27"/>
      <c r="G630" s="27"/>
      <c r="H630" s="27"/>
      <c r="I630" s="27"/>
      <c r="J630" s="27"/>
    </row>
    <row r="631">
      <c r="C631" s="26"/>
      <c r="D631" s="27"/>
      <c r="E631" s="27"/>
      <c r="F631" s="27"/>
      <c r="G631" s="27"/>
      <c r="H631" s="27"/>
      <c r="I631" s="27"/>
      <c r="J631" s="27"/>
    </row>
    <row r="632">
      <c r="C632" s="26"/>
      <c r="D632" s="27"/>
      <c r="E632" s="27"/>
      <c r="F632" s="27"/>
      <c r="G632" s="27"/>
      <c r="H632" s="27"/>
      <c r="I632" s="27"/>
      <c r="J632" s="27"/>
    </row>
    <row r="633">
      <c r="C633" s="26"/>
      <c r="D633" s="27"/>
      <c r="E633" s="27"/>
      <c r="F633" s="27"/>
      <c r="G633" s="27"/>
      <c r="H633" s="27"/>
      <c r="I633" s="27"/>
      <c r="J633" s="27"/>
    </row>
    <row r="634">
      <c r="C634" s="26"/>
      <c r="D634" s="27"/>
      <c r="E634" s="27"/>
      <c r="F634" s="27"/>
      <c r="G634" s="27"/>
      <c r="H634" s="27"/>
      <c r="I634" s="27"/>
      <c r="J634" s="27"/>
    </row>
    <row r="635">
      <c r="C635" s="26"/>
      <c r="D635" s="27"/>
      <c r="E635" s="27"/>
      <c r="F635" s="27"/>
      <c r="G635" s="27"/>
      <c r="H635" s="27"/>
      <c r="I635" s="27"/>
      <c r="J635" s="27"/>
    </row>
    <row r="636">
      <c r="C636" s="26"/>
      <c r="D636" s="27"/>
      <c r="E636" s="27"/>
      <c r="F636" s="27"/>
      <c r="G636" s="27"/>
      <c r="H636" s="27"/>
      <c r="I636" s="27"/>
      <c r="J636" s="27"/>
    </row>
    <row r="637">
      <c r="C637" s="26"/>
      <c r="D637" s="27"/>
      <c r="E637" s="27"/>
      <c r="F637" s="27"/>
      <c r="G637" s="27"/>
      <c r="H637" s="27"/>
      <c r="I637" s="27"/>
      <c r="J637" s="27"/>
    </row>
    <row r="638">
      <c r="C638" s="26"/>
      <c r="D638" s="27"/>
      <c r="E638" s="27"/>
      <c r="F638" s="27"/>
      <c r="G638" s="27"/>
      <c r="H638" s="27"/>
      <c r="I638" s="27"/>
      <c r="J638" s="27"/>
    </row>
    <row r="639">
      <c r="C639" s="26"/>
      <c r="D639" s="27"/>
      <c r="E639" s="27"/>
      <c r="F639" s="27"/>
      <c r="G639" s="27"/>
      <c r="H639" s="27"/>
      <c r="I639" s="27"/>
      <c r="J639" s="27"/>
    </row>
    <row r="640">
      <c r="C640" s="26"/>
      <c r="D640" s="27"/>
      <c r="E640" s="27"/>
      <c r="F640" s="27"/>
      <c r="G640" s="27"/>
      <c r="H640" s="27"/>
      <c r="I640" s="27"/>
      <c r="J640" s="27"/>
    </row>
    <row r="641">
      <c r="C641" s="26"/>
      <c r="D641" s="27"/>
      <c r="E641" s="27"/>
      <c r="F641" s="27"/>
      <c r="G641" s="27"/>
      <c r="H641" s="27"/>
      <c r="I641" s="27"/>
      <c r="J641" s="27"/>
    </row>
    <row r="642">
      <c r="C642" s="26"/>
      <c r="D642" s="27"/>
      <c r="E642" s="27"/>
      <c r="F642" s="27"/>
      <c r="G642" s="27"/>
      <c r="H642" s="27"/>
      <c r="I642" s="27"/>
      <c r="J642" s="27"/>
    </row>
    <row r="643">
      <c r="C643" s="26"/>
      <c r="D643" s="27"/>
      <c r="E643" s="27"/>
      <c r="F643" s="27"/>
      <c r="G643" s="27"/>
      <c r="H643" s="27"/>
      <c r="I643" s="27"/>
      <c r="J643" s="27"/>
    </row>
    <row r="644">
      <c r="C644" s="26"/>
      <c r="D644" s="27"/>
      <c r="E644" s="27"/>
      <c r="F644" s="27"/>
      <c r="G644" s="27"/>
      <c r="H644" s="27"/>
      <c r="I644" s="27"/>
      <c r="J644" s="27"/>
    </row>
    <row r="645">
      <c r="C645" s="26"/>
      <c r="D645" s="27"/>
      <c r="E645" s="27"/>
      <c r="F645" s="27"/>
      <c r="G645" s="27"/>
      <c r="H645" s="27"/>
      <c r="I645" s="27"/>
      <c r="J645" s="27"/>
    </row>
    <row r="646">
      <c r="C646" s="26"/>
      <c r="D646" s="27"/>
      <c r="E646" s="27"/>
      <c r="F646" s="27"/>
      <c r="G646" s="27"/>
      <c r="H646" s="27"/>
      <c r="I646" s="27"/>
      <c r="J646" s="27"/>
    </row>
    <row r="647">
      <c r="C647" s="26"/>
      <c r="D647" s="27"/>
      <c r="E647" s="27"/>
      <c r="F647" s="27"/>
      <c r="G647" s="27"/>
      <c r="H647" s="27"/>
      <c r="I647" s="27"/>
      <c r="J647" s="27"/>
    </row>
    <row r="648">
      <c r="C648" s="26"/>
      <c r="D648" s="27"/>
      <c r="E648" s="27"/>
      <c r="F648" s="27"/>
      <c r="G648" s="27"/>
      <c r="H648" s="27"/>
      <c r="I648" s="27"/>
      <c r="J648" s="27"/>
    </row>
    <row r="649">
      <c r="C649" s="26"/>
      <c r="D649" s="27"/>
      <c r="E649" s="27"/>
      <c r="F649" s="27"/>
      <c r="G649" s="27"/>
      <c r="H649" s="27"/>
      <c r="I649" s="27"/>
      <c r="J649" s="27"/>
    </row>
    <row r="650">
      <c r="C650" s="26"/>
      <c r="D650" s="27"/>
      <c r="E650" s="27"/>
      <c r="F650" s="27"/>
      <c r="G650" s="27"/>
      <c r="H650" s="27"/>
      <c r="I650" s="27"/>
      <c r="J650" s="27"/>
    </row>
    <row r="651">
      <c r="C651" s="26"/>
      <c r="D651" s="27"/>
      <c r="E651" s="27"/>
      <c r="F651" s="27"/>
      <c r="G651" s="27"/>
      <c r="H651" s="27"/>
      <c r="I651" s="27"/>
      <c r="J651" s="27"/>
    </row>
    <row r="652">
      <c r="C652" s="26"/>
      <c r="D652" s="27"/>
      <c r="E652" s="27"/>
      <c r="F652" s="27"/>
      <c r="G652" s="27"/>
      <c r="H652" s="27"/>
      <c r="I652" s="27"/>
      <c r="J652" s="27"/>
    </row>
    <row r="653">
      <c r="C653" s="26"/>
      <c r="D653" s="27"/>
      <c r="E653" s="27"/>
      <c r="F653" s="27"/>
      <c r="G653" s="27"/>
      <c r="H653" s="27"/>
      <c r="I653" s="27"/>
      <c r="J653" s="27"/>
    </row>
    <row r="654">
      <c r="C654" s="26"/>
      <c r="D654" s="27"/>
      <c r="E654" s="27"/>
      <c r="F654" s="27"/>
      <c r="G654" s="27"/>
      <c r="H654" s="27"/>
      <c r="I654" s="27"/>
      <c r="J654" s="27"/>
    </row>
    <row r="655">
      <c r="C655" s="26"/>
      <c r="D655" s="27"/>
      <c r="E655" s="27"/>
      <c r="F655" s="27"/>
      <c r="G655" s="27"/>
      <c r="H655" s="27"/>
      <c r="I655" s="27"/>
      <c r="J655" s="27"/>
    </row>
    <row r="656">
      <c r="C656" s="26"/>
      <c r="D656" s="27"/>
      <c r="E656" s="27"/>
      <c r="F656" s="27"/>
      <c r="G656" s="27"/>
      <c r="H656" s="27"/>
      <c r="I656" s="27"/>
      <c r="J656" s="27"/>
    </row>
    <row r="657">
      <c r="C657" s="26"/>
      <c r="D657" s="27"/>
      <c r="E657" s="27"/>
      <c r="F657" s="27"/>
      <c r="G657" s="27"/>
      <c r="H657" s="27"/>
      <c r="I657" s="27"/>
      <c r="J657" s="27"/>
    </row>
    <row r="658">
      <c r="C658" s="26"/>
      <c r="D658" s="27"/>
      <c r="E658" s="27"/>
      <c r="F658" s="27"/>
      <c r="G658" s="27"/>
      <c r="H658" s="27"/>
      <c r="I658" s="27"/>
      <c r="J658" s="27"/>
    </row>
    <row r="659">
      <c r="C659" s="26"/>
      <c r="D659" s="27"/>
      <c r="E659" s="27"/>
      <c r="F659" s="27"/>
      <c r="G659" s="27"/>
      <c r="H659" s="27"/>
      <c r="I659" s="27"/>
      <c r="J659" s="27"/>
    </row>
    <row r="660">
      <c r="C660" s="26"/>
      <c r="D660" s="27"/>
      <c r="E660" s="27"/>
      <c r="F660" s="27"/>
      <c r="G660" s="27"/>
      <c r="H660" s="27"/>
      <c r="I660" s="27"/>
      <c r="J660" s="27"/>
    </row>
    <row r="661">
      <c r="C661" s="26"/>
      <c r="D661" s="27"/>
      <c r="E661" s="27"/>
      <c r="F661" s="27"/>
      <c r="G661" s="27"/>
      <c r="H661" s="27"/>
      <c r="I661" s="27"/>
      <c r="J661" s="27"/>
    </row>
    <row r="662">
      <c r="C662" s="26"/>
      <c r="D662" s="27"/>
      <c r="E662" s="27"/>
      <c r="F662" s="27"/>
      <c r="G662" s="27"/>
      <c r="H662" s="27"/>
      <c r="I662" s="27"/>
      <c r="J662" s="27"/>
    </row>
    <row r="663">
      <c r="C663" s="26"/>
      <c r="D663" s="27"/>
      <c r="E663" s="27"/>
      <c r="F663" s="27"/>
      <c r="G663" s="27"/>
      <c r="H663" s="27"/>
      <c r="I663" s="27"/>
      <c r="J663" s="27"/>
    </row>
    <row r="664">
      <c r="C664" s="26"/>
      <c r="D664" s="27"/>
      <c r="E664" s="27"/>
      <c r="F664" s="27"/>
      <c r="G664" s="27"/>
      <c r="H664" s="27"/>
      <c r="I664" s="27"/>
      <c r="J664" s="27"/>
    </row>
    <row r="665">
      <c r="C665" s="26"/>
      <c r="D665" s="27"/>
      <c r="E665" s="27"/>
      <c r="F665" s="27"/>
      <c r="G665" s="27"/>
      <c r="H665" s="27"/>
      <c r="I665" s="27"/>
      <c r="J665" s="27"/>
    </row>
    <row r="666">
      <c r="C666" s="26"/>
      <c r="D666" s="27"/>
      <c r="E666" s="27"/>
      <c r="F666" s="27"/>
      <c r="G666" s="27"/>
      <c r="H666" s="27"/>
      <c r="I666" s="27"/>
      <c r="J666" s="27"/>
    </row>
    <row r="667">
      <c r="C667" s="26"/>
      <c r="D667" s="27"/>
      <c r="E667" s="27"/>
      <c r="F667" s="27"/>
      <c r="G667" s="27"/>
      <c r="H667" s="27"/>
      <c r="I667" s="27"/>
      <c r="J667" s="27"/>
    </row>
    <row r="668">
      <c r="C668" s="26"/>
      <c r="D668" s="27"/>
      <c r="E668" s="27"/>
      <c r="F668" s="27"/>
      <c r="G668" s="27"/>
      <c r="H668" s="27"/>
      <c r="I668" s="27"/>
      <c r="J668" s="27"/>
    </row>
    <row r="669">
      <c r="C669" s="26"/>
      <c r="D669" s="27"/>
      <c r="E669" s="27"/>
      <c r="F669" s="27"/>
      <c r="G669" s="27"/>
      <c r="H669" s="27"/>
      <c r="I669" s="27"/>
      <c r="J669" s="27"/>
    </row>
    <row r="670">
      <c r="C670" s="26"/>
      <c r="D670" s="27"/>
      <c r="E670" s="27"/>
      <c r="F670" s="27"/>
      <c r="G670" s="27"/>
      <c r="H670" s="27"/>
      <c r="I670" s="27"/>
      <c r="J670" s="27"/>
    </row>
    <row r="671">
      <c r="C671" s="26"/>
      <c r="D671" s="27"/>
      <c r="E671" s="27"/>
      <c r="F671" s="27"/>
      <c r="G671" s="27"/>
      <c r="H671" s="27"/>
      <c r="I671" s="27"/>
      <c r="J671" s="27"/>
    </row>
    <row r="672">
      <c r="C672" s="26"/>
      <c r="D672" s="27"/>
      <c r="E672" s="27"/>
      <c r="F672" s="27"/>
      <c r="G672" s="27"/>
      <c r="H672" s="27"/>
      <c r="I672" s="27"/>
      <c r="J672" s="27"/>
    </row>
    <row r="673">
      <c r="C673" s="26"/>
      <c r="D673" s="27"/>
      <c r="E673" s="27"/>
      <c r="F673" s="27"/>
      <c r="G673" s="27"/>
      <c r="H673" s="27"/>
      <c r="I673" s="27"/>
      <c r="J673" s="27"/>
    </row>
    <row r="674">
      <c r="C674" s="26"/>
      <c r="D674" s="27"/>
      <c r="E674" s="27"/>
      <c r="F674" s="27"/>
      <c r="G674" s="27"/>
      <c r="H674" s="27"/>
      <c r="I674" s="27"/>
      <c r="J674" s="27"/>
    </row>
    <row r="675">
      <c r="C675" s="26"/>
      <c r="D675" s="27"/>
      <c r="E675" s="27"/>
      <c r="F675" s="27"/>
      <c r="G675" s="27"/>
      <c r="H675" s="27"/>
      <c r="I675" s="27"/>
      <c r="J675" s="27"/>
    </row>
    <row r="676">
      <c r="C676" s="26"/>
      <c r="D676" s="27"/>
      <c r="E676" s="27"/>
      <c r="F676" s="27"/>
      <c r="G676" s="27"/>
      <c r="H676" s="27"/>
      <c r="I676" s="27"/>
      <c r="J676" s="27"/>
    </row>
    <row r="677">
      <c r="C677" s="26"/>
      <c r="D677" s="27"/>
      <c r="E677" s="27"/>
      <c r="F677" s="27"/>
      <c r="G677" s="27"/>
      <c r="H677" s="27"/>
      <c r="I677" s="27"/>
      <c r="J677" s="27"/>
    </row>
    <row r="678">
      <c r="C678" s="26"/>
      <c r="D678" s="27"/>
      <c r="E678" s="27"/>
      <c r="F678" s="27"/>
      <c r="G678" s="27"/>
      <c r="H678" s="27"/>
      <c r="I678" s="27"/>
      <c r="J678" s="27"/>
    </row>
    <row r="679">
      <c r="C679" s="26"/>
      <c r="D679" s="27"/>
      <c r="E679" s="27"/>
      <c r="F679" s="27"/>
      <c r="G679" s="27"/>
      <c r="H679" s="27"/>
      <c r="I679" s="27"/>
      <c r="J679" s="27"/>
    </row>
    <row r="680">
      <c r="C680" s="26"/>
      <c r="D680" s="27"/>
      <c r="E680" s="27"/>
      <c r="F680" s="27"/>
      <c r="G680" s="27"/>
      <c r="H680" s="27"/>
      <c r="I680" s="27"/>
      <c r="J680" s="27"/>
    </row>
    <row r="681">
      <c r="C681" s="26"/>
      <c r="D681" s="27"/>
      <c r="E681" s="27"/>
      <c r="F681" s="27"/>
      <c r="G681" s="27"/>
      <c r="H681" s="27"/>
      <c r="I681" s="27"/>
      <c r="J681" s="27"/>
    </row>
    <row r="682">
      <c r="C682" s="26"/>
      <c r="D682" s="27"/>
      <c r="E682" s="27"/>
      <c r="F682" s="27"/>
      <c r="G682" s="27"/>
      <c r="H682" s="27"/>
      <c r="I682" s="27"/>
      <c r="J682" s="27"/>
    </row>
    <row r="683">
      <c r="C683" s="26"/>
      <c r="D683" s="27"/>
      <c r="E683" s="27"/>
      <c r="F683" s="27"/>
      <c r="G683" s="27"/>
      <c r="H683" s="27"/>
      <c r="I683" s="27"/>
      <c r="J683" s="27"/>
    </row>
    <row r="684">
      <c r="C684" s="26"/>
      <c r="D684" s="27"/>
      <c r="E684" s="27"/>
      <c r="F684" s="27"/>
      <c r="G684" s="27"/>
      <c r="H684" s="27"/>
      <c r="I684" s="27"/>
      <c r="J684" s="27"/>
    </row>
    <row r="685">
      <c r="C685" s="26"/>
      <c r="D685" s="27"/>
      <c r="E685" s="27"/>
      <c r="F685" s="27"/>
      <c r="G685" s="27"/>
      <c r="H685" s="27"/>
      <c r="I685" s="27"/>
      <c r="J685" s="27"/>
    </row>
    <row r="686">
      <c r="C686" s="26"/>
      <c r="D686" s="27"/>
      <c r="E686" s="27"/>
      <c r="F686" s="27"/>
      <c r="G686" s="27"/>
      <c r="H686" s="27"/>
      <c r="I686" s="27"/>
      <c r="J686" s="27"/>
    </row>
    <row r="687">
      <c r="C687" s="26"/>
      <c r="D687" s="27"/>
      <c r="E687" s="27"/>
      <c r="F687" s="27"/>
      <c r="G687" s="27"/>
      <c r="H687" s="27"/>
      <c r="I687" s="27"/>
      <c r="J687" s="27"/>
    </row>
    <row r="688">
      <c r="C688" s="26"/>
      <c r="D688" s="27"/>
      <c r="E688" s="27"/>
      <c r="F688" s="27"/>
      <c r="G688" s="27"/>
      <c r="H688" s="27"/>
      <c r="I688" s="27"/>
      <c r="J688" s="27"/>
    </row>
    <row r="689">
      <c r="C689" s="26"/>
      <c r="D689" s="27"/>
      <c r="E689" s="27"/>
      <c r="F689" s="27"/>
      <c r="G689" s="27"/>
      <c r="H689" s="27"/>
      <c r="I689" s="27"/>
      <c r="J689" s="27"/>
    </row>
    <row r="690">
      <c r="C690" s="26"/>
      <c r="D690" s="27"/>
      <c r="E690" s="27"/>
      <c r="F690" s="27"/>
      <c r="G690" s="27"/>
      <c r="H690" s="27"/>
      <c r="I690" s="27"/>
      <c r="J690" s="27"/>
    </row>
    <row r="691">
      <c r="C691" s="26"/>
      <c r="D691" s="27"/>
      <c r="E691" s="27"/>
      <c r="F691" s="27"/>
      <c r="G691" s="27"/>
      <c r="H691" s="27"/>
      <c r="I691" s="27"/>
      <c r="J691" s="27"/>
    </row>
    <row r="692">
      <c r="C692" s="26"/>
      <c r="D692" s="27"/>
      <c r="E692" s="27"/>
      <c r="F692" s="27"/>
      <c r="G692" s="27"/>
      <c r="H692" s="27"/>
      <c r="I692" s="27"/>
      <c r="J692" s="27"/>
    </row>
    <row r="693">
      <c r="C693" s="26"/>
      <c r="D693" s="27"/>
      <c r="E693" s="27"/>
      <c r="F693" s="27"/>
      <c r="G693" s="27"/>
      <c r="H693" s="27"/>
      <c r="I693" s="27"/>
      <c r="J693" s="27"/>
    </row>
    <row r="694">
      <c r="C694" s="26"/>
      <c r="D694" s="27"/>
      <c r="E694" s="27"/>
      <c r="F694" s="27"/>
      <c r="G694" s="27"/>
      <c r="H694" s="27"/>
      <c r="I694" s="27"/>
      <c r="J694" s="27"/>
    </row>
    <row r="695">
      <c r="C695" s="26"/>
      <c r="D695" s="27"/>
      <c r="E695" s="27"/>
      <c r="F695" s="27"/>
      <c r="G695" s="27"/>
      <c r="H695" s="27"/>
      <c r="I695" s="27"/>
      <c r="J695" s="27"/>
    </row>
    <row r="696">
      <c r="C696" s="26"/>
      <c r="D696" s="27"/>
      <c r="E696" s="27"/>
      <c r="F696" s="27"/>
      <c r="G696" s="27"/>
      <c r="H696" s="27"/>
      <c r="I696" s="27"/>
      <c r="J696" s="27"/>
    </row>
    <row r="697">
      <c r="C697" s="26"/>
      <c r="D697" s="27"/>
      <c r="E697" s="27"/>
      <c r="F697" s="27"/>
      <c r="G697" s="27"/>
      <c r="H697" s="27"/>
      <c r="I697" s="27"/>
      <c r="J697" s="27"/>
    </row>
    <row r="698">
      <c r="C698" s="26"/>
      <c r="D698" s="27"/>
      <c r="E698" s="27"/>
      <c r="F698" s="27"/>
      <c r="G698" s="27"/>
      <c r="H698" s="27"/>
      <c r="I698" s="27"/>
      <c r="J698" s="27"/>
    </row>
    <row r="699">
      <c r="C699" s="26"/>
      <c r="D699" s="27"/>
      <c r="E699" s="27"/>
      <c r="F699" s="27"/>
      <c r="G699" s="27"/>
      <c r="H699" s="27"/>
      <c r="I699" s="27"/>
      <c r="J699" s="27"/>
    </row>
    <row r="700">
      <c r="C700" s="26"/>
      <c r="D700" s="27"/>
      <c r="E700" s="27"/>
      <c r="F700" s="27"/>
      <c r="G700" s="27"/>
      <c r="H700" s="27"/>
      <c r="I700" s="27"/>
      <c r="J700" s="27"/>
    </row>
    <row r="701">
      <c r="C701" s="26"/>
      <c r="D701" s="27"/>
      <c r="E701" s="27"/>
      <c r="F701" s="27"/>
      <c r="G701" s="27"/>
      <c r="H701" s="27"/>
      <c r="I701" s="27"/>
      <c r="J701" s="27"/>
    </row>
    <row r="702">
      <c r="C702" s="26"/>
      <c r="D702" s="27"/>
      <c r="E702" s="27"/>
      <c r="F702" s="27"/>
      <c r="G702" s="27"/>
      <c r="H702" s="27"/>
      <c r="I702" s="27"/>
      <c r="J702" s="27"/>
    </row>
    <row r="703">
      <c r="C703" s="26"/>
      <c r="D703" s="27"/>
      <c r="E703" s="27"/>
      <c r="F703" s="27"/>
      <c r="G703" s="27"/>
      <c r="H703" s="27"/>
      <c r="I703" s="27"/>
      <c r="J703" s="27"/>
    </row>
    <row r="704">
      <c r="C704" s="26"/>
      <c r="D704" s="27"/>
      <c r="E704" s="27"/>
      <c r="F704" s="27"/>
      <c r="G704" s="27"/>
      <c r="H704" s="27"/>
      <c r="I704" s="27"/>
      <c r="J704" s="27"/>
    </row>
    <row r="705">
      <c r="C705" s="26"/>
      <c r="D705" s="27"/>
      <c r="E705" s="27"/>
      <c r="F705" s="27"/>
      <c r="G705" s="27"/>
      <c r="H705" s="27"/>
      <c r="I705" s="27"/>
      <c r="J705" s="27"/>
    </row>
    <row r="706">
      <c r="C706" s="26"/>
      <c r="D706" s="27"/>
      <c r="E706" s="27"/>
      <c r="F706" s="27"/>
      <c r="G706" s="27"/>
      <c r="H706" s="27"/>
      <c r="I706" s="27"/>
      <c r="J706" s="27"/>
    </row>
    <row r="707">
      <c r="C707" s="26"/>
      <c r="D707" s="27"/>
      <c r="E707" s="27"/>
      <c r="F707" s="27"/>
      <c r="G707" s="27"/>
      <c r="H707" s="27"/>
      <c r="I707" s="27"/>
      <c r="J707" s="27"/>
    </row>
    <row r="708">
      <c r="C708" s="26"/>
      <c r="D708" s="27"/>
      <c r="E708" s="27"/>
      <c r="F708" s="27"/>
      <c r="G708" s="27"/>
      <c r="H708" s="27"/>
      <c r="I708" s="27"/>
      <c r="J708" s="27"/>
    </row>
    <row r="709">
      <c r="C709" s="26"/>
      <c r="D709" s="27"/>
      <c r="E709" s="27"/>
      <c r="F709" s="27"/>
      <c r="G709" s="27"/>
      <c r="H709" s="27"/>
      <c r="I709" s="27"/>
      <c r="J709" s="27"/>
    </row>
    <row r="710">
      <c r="C710" s="26"/>
      <c r="D710" s="27"/>
      <c r="E710" s="27"/>
      <c r="F710" s="27"/>
      <c r="G710" s="27"/>
      <c r="H710" s="27"/>
      <c r="I710" s="27"/>
      <c r="J710" s="27"/>
    </row>
    <row r="711">
      <c r="C711" s="26"/>
      <c r="D711" s="27"/>
      <c r="E711" s="27"/>
      <c r="F711" s="27"/>
      <c r="G711" s="27"/>
      <c r="H711" s="27"/>
      <c r="I711" s="27"/>
      <c r="J711" s="27"/>
    </row>
    <row r="712">
      <c r="C712" s="26"/>
      <c r="D712" s="27"/>
      <c r="E712" s="27"/>
      <c r="F712" s="27"/>
      <c r="G712" s="27"/>
      <c r="H712" s="27"/>
      <c r="I712" s="27"/>
      <c r="J712" s="27"/>
    </row>
    <row r="713">
      <c r="C713" s="26"/>
      <c r="D713" s="27"/>
      <c r="E713" s="27"/>
      <c r="F713" s="27"/>
      <c r="G713" s="27"/>
      <c r="H713" s="27"/>
      <c r="I713" s="27"/>
      <c r="J713" s="27"/>
    </row>
    <row r="714">
      <c r="C714" s="26"/>
      <c r="D714" s="27"/>
      <c r="E714" s="27"/>
      <c r="F714" s="27"/>
      <c r="G714" s="27"/>
      <c r="H714" s="27"/>
      <c r="I714" s="27"/>
      <c r="J714" s="27"/>
    </row>
    <row r="715">
      <c r="C715" s="26"/>
      <c r="D715" s="27"/>
      <c r="E715" s="27"/>
      <c r="F715" s="27"/>
      <c r="G715" s="27"/>
      <c r="H715" s="27"/>
      <c r="I715" s="27"/>
      <c r="J715" s="27"/>
    </row>
    <row r="716">
      <c r="C716" s="26"/>
      <c r="D716" s="27"/>
      <c r="E716" s="27"/>
      <c r="F716" s="27"/>
      <c r="G716" s="27"/>
      <c r="H716" s="27"/>
      <c r="I716" s="27"/>
      <c r="J716" s="27"/>
    </row>
    <row r="717">
      <c r="C717" s="26"/>
      <c r="D717" s="27"/>
      <c r="E717" s="27"/>
      <c r="F717" s="27"/>
      <c r="G717" s="27"/>
      <c r="H717" s="27"/>
      <c r="I717" s="27"/>
      <c r="J717" s="27"/>
    </row>
    <row r="718">
      <c r="C718" s="26"/>
      <c r="D718" s="27"/>
      <c r="E718" s="27"/>
      <c r="F718" s="27"/>
      <c r="G718" s="27"/>
      <c r="H718" s="27"/>
      <c r="I718" s="27"/>
      <c r="J718" s="27"/>
    </row>
    <row r="719">
      <c r="C719" s="26"/>
      <c r="D719" s="27"/>
      <c r="E719" s="27"/>
      <c r="F719" s="27"/>
      <c r="G719" s="27"/>
      <c r="H719" s="27"/>
      <c r="I719" s="27"/>
      <c r="J719" s="27"/>
    </row>
    <row r="720">
      <c r="C720" s="26"/>
      <c r="D720" s="27"/>
      <c r="E720" s="27"/>
      <c r="F720" s="27"/>
      <c r="G720" s="27"/>
      <c r="H720" s="27"/>
      <c r="I720" s="27"/>
      <c r="J720" s="27"/>
    </row>
    <row r="721">
      <c r="C721" s="26"/>
      <c r="D721" s="27"/>
      <c r="E721" s="27"/>
      <c r="F721" s="27"/>
      <c r="G721" s="27"/>
      <c r="H721" s="27"/>
      <c r="I721" s="27"/>
      <c r="J721" s="27"/>
    </row>
    <row r="722">
      <c r="C722" s="26"/>
      <c r="D722" s="27"/>
      <c r="E722" s="27"/>
      <c r="F722" s="27"/>
      <c r="G722" s="27"/>
      <c r="H722" s="27"/>
      <c r="I722" s="27"/>
      <c r="J722" s="27"/>
    </row>
    <row r="723">
      <c r="C723" s="26"/>
      <c r="D723" s="27"/>
      <c r="E723" s="27"/>
      <c r="F723" s="27"/>
      <c r="G723" s="27"/>
      <c r="H723" s="27"/>
      <c r="I723" s="27"/>
      <c r="J723" s="27"/>
    </row>
    <row r="724">
      <c r="C724" s="26"/>
      <c r="D724" s="27"/>
      <c r="E724" s="27"/>
      <c r="F724" s="27"/>
      <c r="G724" s="27"/>
      <c r="H724" s="27"/>
      <c r="I724" s="27"/>
      <c r="J724" s="27"/>
    </row>
    <row r="725">
      <c r="C725" s="26"/>
      <c r="D725" s="27"/>
      <c r="E725" s="27"/>
      <c r="F725" s="27"/>
      <c r="G725" s="27"/>
      <c r="H725" s="27"/>
      <c r="I725" s="27"/>
      <c r="J725" s="27"/>
    </row>
    <row r="726">
      <c r="C726" s="26"/>
      <c r="D726" s="27"/>
      <c r="E726" s="27"/>
      <c r="F726" s="27"/>
      <c r="G726" s="27"/>
      <c r="H726" s="27"/>
      <c r="I726" s="27"/>
      <c r="J726" s="27"/>
    </row>
    <row r="727">
      <c r="C727" s="26"/>
      <c r="D727" s="27"/>
      <c r="E727" s="27"/>
      <c r="F727" s="27"/>
      <c r="G727" s="27"/>
      <c r="H727" s="27"/>
      <c r="I727" s="27"/>
      <c r="J727" s="27"/>
    </row>
    <row r="728">
      <c r="C728" s="26"/>
      <c r="D728" s="27"/>
      <c r="E728" s="27"/>
      <c r="F728" s="27"/>
      <c r="G728" s="27"/>
      <c r="H728" s="27"/>
      <c r="I728" s="27"/>
      <c r="J728" s="27"/>
    </row>
    <row r="729">
      <c r="C729" s="26"/>
      <c r="D729" s="27"/>
      <c r="E729" s="27"/>
      <c r="F729" s="27"/>
      <c r="G729" s="27"/>
      <c r="H729" s="27"/>
      <c r="I729" s="27"/>
      <c r="J729" s="27"/>
    </row>
    <row r="730">
      <c r="C730" s="26"/>
      <c r="D730" s="27"/>
      <c r="E730" s="27"/>
      <c r="F730" s="27"/>
      <c r="G730" s="27"/>
      <c r="H730" s="27"/>
      <c r="I730" s="27"/>
      <c r="J730" s="27"/>
    </row>
    <row r="731">
      <c r="C731" s="26"/>
      <c r="D731" s="27"/>
      <c r="E731" s="27"/>
      <c r="F731" s="27"/>
      <c r="G731" s="27"/>
      <c r="H731" s="27"/>
      <c r="I731" s="27"/>
      <c r="J731" s="27"/>
    </row>
    <row r="732">
      <c r="C732" s="26"/>
      <c r="D732" s="27"/>
      <c r="E732" s="27"/>
      <c r="F732" s="27"/>
      <c r="G732" s="27"/>
      <c r="H732" s="27"/>
      <c r="I732" s="27"/>
      <c r="J732" s="27"/>
    </row>
    <row r="733">
      <c r="C733" s="26"/>
      <c r="D733" s="27"/>
      <c r="E733" s="27"/>
      <c r="F733" s="27"/>
      <c r="G733" s="27"/>
      <c r="H733" s="27"/>
      <c r="I733" s="27"/>
      <c r="J733" s="27"/>
    </row>
    <row r="734">
      <c r="C734" s="26"/>
      <c r="D734" s="27"/>
      <c r="E734" s="27"/>
      <c r="F734" s="27"/>
      <c r="G734" s="27"/>
      <c r="H734" s="27"/>
      <c r="I734" s="27"/>
      <c r="J734" s="27"/>
    </row>
    <row r="735">
      <c r="C735" s="26"/>
      <c r="D735" s="27"/>
      <c r="E735" s="27"/>
      <c r="F735" s="27"/>
      <c r="G735" s="27"/>
      <c r="H735" s="27"/>
      <c r="I735" s="27"/>
      <c r="J735" s="27"/>
    </row>
    <row r="736">
      <c r="C736" s="26"/>
      <c r="D736" s="27"/>
      <c r="E736" s="27"/>
      <c r="F736" s="27"/>
      <c r="G736" s="27"/>
      <c r="H736" s="27"/>
      <c r="I736" s="27"/>
      <c r="J736" s="27"/>
    </row>
    <row r="737">
      <c r="C737" s="26"/>
      <c r="D737" s="27"/>
      <c r="E737" s="27"/>
      <c r="F737" s="27"/>
      <c r="G737" s="27"/>
      <c r="H737" s="27"/>
      <c r="I737" s="27"/>
      <c r="J737" s="27"/>
    </row>
    <row r="738">
      <c r="C738" s="26"/>
      <c r="D738" s="27"/>
      <c r="E738" s="27"/>
      <c r="F738" s="27"/>
      <c r="G738" s="27"/>
      <c r="H738" s="27"/>
      <c r="I738" s="27"/>
      <c r="J738" s="27"/>
    </row>
    <row r="739">
      <c r="C739" s="26"/>
      <c r="D739" s="27"/>
      <c r="E739" s="27"/>
      <c r="F739" s="27"/>
      <c r="G739" s="27"/>
      <c r="H739" s="27"/>
      <c r="I739" s="27"/>
      <c r="J739" s="27"/>
    </row>
    <row r="740">
      <c r="C740" s="26"/>
      <c r="D740" s="27"/>
      <c r="E740" s="27"/>
      <c r="F740" s="27"/>
      <c r="G740" s="27"/>
      <c r="H740" s="27"/>
      <c r="I740" s="27"/>
      <c r="J740" s="27"/>
    </row>
    <row r="741">
      <c r="C741" s="26"/>
      <c r="D741" s="27"/>
      <c r="E741" s="27"/>
      <c r="F741" s="27"/>
      <c r="G741" s="27"/>
      <c r="H741" s="27"/>
      <c r="I741" s="27"/>
      <c r="J741" s="27"/>
    </row>
    <row r="742">
      <c r="C742" s="26"/>
      <c r="D742" s="27"/>
      <c r="E742" s="27"/>
      <c r="F742" s="27"/>
      <c r="G742" s="27"/>
      <c r="H742" s="27"/>
      <c r="I742" s="27"/>
      <c r="J742" s="27"/>
    </row>
    <row r="743">
      <c r="C743" s="26"/>
      <c r="D743" s="27"/>
      <c r="E743" s="27"/>
      <c r="F743" s="27"/>
      <c r="G743" s="27"/>
      <c r="H743" s="27"/>
      <c r="I743" s="27"/>
      <c r="J743" s="27"/>
    </row>
    <row r="744">
      <c r="C744" s="26"/>
      <c r="D744" s="27"/>
      <c r="E744" s="27"/>
      <c r="F744" s="27"/>
      <c r="G744" s="27"/>
      <c r="H744" s="27"/>
      <c r="I744" s="27"/>
      <c r="J744" s="27"/>
    </row>
    <row r="745">
      <c r="C745" s="26"/>
      <c r="D745" s="27"/>
      <c r="E745" s="27"/>
      <c r="F745" s="27"/>
      <c r="G745" s="27"/>
      <c r="H745" s="27"/>
      <c r="I745" s="27"/>
      <c r="J745" s="27"/>
    </row>
    <row r="746">
      <c r="C746" s="26"/>
      <c r="D746" s="27"/>
      <c r="E746" s="27"/>
      <c r="F746" s="27"/>
      <c r="G746" s="27"/>
      <c r="H746" s="27"/>
      <c r="I746" s="27"/>
      <c r="J746" s="27"/>
    </row>
    <row r="747">
      <c r="C747" s="26"/>
      <c r="D747" s="27"/>
      <c r="E747" s="27"/>
      <c r="F747" s="27"/>
      <c r="G747" s="27"/>
      <c r="H747" s="27"/>
      <c r="I747" s="27"/>
      <c r="J747" s="27"/>
    </row>
    <row r="748">
      <c r="C748" s="26"/>
      <c r="D748" s="27"/>
      <c r="E748" s="27"/>
      <c r="F748" s="27"/>
      <c r="G748" s="27"/>
      <c r="H748" s="27"/>
      <c r="I748" s="27"/>
      <c r="J748" s="27"/>
    </row>
    <row r="749">
      <c r="C749" s="26"/>
      <c r="D749" s="27"/>
      <c r="E749" s="27"/>
      <c r="F749" s="27"/>
      <c r="G749" s="27"/>
      <c r="H749" s="27"/>
      <c r="I749" s="27"/>
      <c r="J749" s="27"/>
    </row>
    <row r="750">
      <c r="C750" s="26"/>
      <c r="D750" s="27"/>
      <c r="E750" s="27"/>
      <c r="F750" s="27"/>
      <c r="G750" s="27"/>
      <c r="H750" s="27"/>
      <c r="I750" s="27"/>
      <c r="J750" s="27"/>
    </row>
    <row r="751">
      <c r="C751" s="26"/>
      <c r="D751" s="27"/>
      <c r="E751" s="27"/>
      <c r="F751" s="27"/>
      <c r="G751" s="27"/>
      <c r="H751" s="27"/>
      <c r="I751" s="27"/>
      <c r="J751" s="27"/>
    </row>
    <row r="752">
      <c r="C752" s="26"/>
      <c r="D752" s="27"/>
      <c r="E752" s="27"/>
      <c r="F752" s="27"/>
      <c r="G752" s="27"/>
      <c r="H752" s="27"/>
      <c r="I752" s="27"/>
      <c r="J752" s="27"/>
    </row>
    <row r="753">
      <c r="C753" s="26"/>
      <c r="D753" s="27"/>
      <c r="E753" s="27"/>
      <c r="F753" s="27"/>
      <c r="G753" s="27"/>
      <c r="H753" s="27"/>
      <c r="I753" s="27"/>
      <c r="J753" s="27"/>
    </row>
    <row r="754">
      <c r="C754" s="26"/>
      <c r="D754" s="27"/>
      <c r="E754" s="27"/>
      <c r="F754" s="27"/>
      <c r="G754" s="27"/>
      <c r="H754" s="27"/>
      <c r="I754" s="27"/>
      <c r="J754" s="27"/>
    </row>
    <row r="755">
      <c r="C755" s="26"/>
      <c r="D755" s="27"/>
      <c r="E755" s="27"/>
      <c r="F755" s="27"/>
      <c r="G755" s="27"/>
      <c r="H755" s="27"/>
      <c r="I755" s="27"/>
      <c r="J755" s="27"/>
    </row>
    <row r="756">
      <c r="C756" s="26"/>
      <c r="D756" s="27"/>
      <c r="E756" s="27"/>
      <c r="F756" s="27"/>
      <c r="G756" s="27"/>
      <c r="H756" s="27"/>
      <c r="I756" s="27"/>
      <c r="J756" s="27"/>
    </row>
    <row r="757">
      <c r="C757" s="26"/>
      <c r="D757" s="27"/>
      <c r="E757" s="27"/>
      <c r="F757" s="27"/>
      <c r="G757" s="27"/>
      <c r="H757" s="27"/>
      <c r="I757" s="27"/>
      <c r="J757" s="27"/>
    </row>
    <row r="758">
      <c r="C758" s="26"/>
      <c r="D758" s="27"/>
      <c r="E758" s="27"/>
      <c r="F758" s="27"/>
      <c r="G758" s="27"/>
      <c r="H758" s="27"/>
      <c r="I758" s="27"/>
      <c r="J758" s="27"/>
    </row>
    <row r="759">
      <c r="C759" s="26"/>
      <c r="D759" s="27"/>
      <c r="E759" s="27"/>
      <c r="F759" s="27"/>
      <c r="G759" s="27"/>
      <c r="H759" s="27"/>
      <c r="I759" s="27"/>
      <c r="J759" s="27"/>
    </row>
    <row r="760">
      <c r="C760" s="26"/>
      <c r="D760" s="27"/>
      <c r="E760" s="27"/>
      <c r="F760" s="27"/>
      <c r="G760" s="27"/>
      <c r="H760" s="27"/>
      <c r="I760" s="27"/>
      <c r="J760" s="27"/>
    </row>
    <row r="761">
      <c r="C761" s="26"/>
      <c r="D761" s="27"/>
      <c r="E761" s="27"/>
      <c r="F761" s="27"/>
      <c r="G761" s="27"/>
      <c r="H761" s="27"/>
      <c r="I761" s="27"/>
      <c r="J761" s="27"/>
    </row>
    <row r="762">
      <c r="C762" s="26"/>
      <c r="D762" s="27"/>
      <c r="E762" s="27"/>
      <c r="F762" s="27"/>
      <c r="G762" s="27"/>
      <c r="H762" s="27"/>
      <c r="I762" s="27"/>
      <c r="J762" s="27"/>
    </row>
    <row r="763">
      <c r="C763" s="26"/>
      <c r="D763" s="27"/>
      <c r="E763" s="27"/>
      <c r="F763" s="27"/>
      <c r="G763" s="27"/>
      <c r="H763" s="27"/>
      <c r="I763" s="27"/>
      <c r="J763" s="27"/>
    </row>
    <row r="764">
      <c r="C764" s="26"/>
      <c r="D764" s="27"/>
      <c r="E764" s="27"/>
      <c r="F764" s="27"/>
      <c r="G764" s="27"/>
      <c r="H764" s="27"/>
      <c r="I764" s="27"/>
      <c r="J764" s="27"/>
    </row>
    <row r="765">
      <c r="C765" s="26"/>
      <c r="D765" s="27"/>
      <c r="E765" s="27"/>
      <c r="F765" s="27"/>
      <c r="G765" s="27"/>
      <c r="H765" s="27"/>
      <c r="I765" s="27"/>
      <c r="J765" s="27"/>
    </row>
    <row r="766">
      <c r="C766" s="26"/>
      <c r="D766" s="27"/>
      <c r="E766" s="27"/>
      <c r="F766" s="27"/>
      <c r="G766" s="27"/>
      <c r="H766" s="27"/>
      <c r="I766" s="27"/>
      <c r="J766" s="27"/>
    </row>
    <row r="767">
      <c r="C767" s="26"/>
      <c r="D767" s="27"/>
      <c r="E767" s="27"/>
      <c r="F767" s="27"/>
      <c r="G767" s="27"/>
      <c r="H767" s="27"/>
      <c r="I767" s="27"/>
      <c r="J767" s="27"/>
    </row>
    <row r="768">
      <c r="C768" s="26"/>
      <c r="D768" s="27"/>
      <c r="E768" s="27"/>
      <c r="F768" s="27"/>
      <c r="G768" s="27"/>
      <c r="H768" s="27"/>
      <c r="I768" s="27"/>
      <c r="J768" s="27"/>
    </row>
    <row r="769">
      <c r="C769" s="26"/>
      <c r="D769" s="27"/>
      <c r="E769" s="27"/>
      <c r="F769" s="27"/>
      <c r="G769" s="27"/>
      <c r="H769" s="27"/>
      <c r="I769" s="27"/>
      <c r="J769" s="27"/>
    </row>
    <row r="770">
      <c r="C770" s="26"/>
      <c r="D770" s="27"/>
      <c r="E770" s="27"/>
      <c r="F770" s="27"/>
      <c r="G770" s="27"/>
      <c r="H770" s="27"/>
      <c r="I770" s="27"/>
      <c r="J770" s="27"/>
    </row>
    <row r="771">
      <c r="C771" s="26"/>
      <c r="D771" s="27"/>
      <c r="E771" s="27"/>
      <c r="F771" s="27"/>
      <c r="G771" s="27"/>
      <c r="H771" s="27"/>
      <c r="I771" s="27"/>
      <c r="J771" s="27"/>
    </row>
    <row r="772">
      <c r="C772" s="26"/>
      <c r="D772" s="27"/>
      <c r="E772" s="27"/>
      <c r="F772" s="27"/>
      <c r="G772" s="27"/>
      <c r="H772" s="27"/>
      <c r="I772" s="27"/>
      <c r="J772" s="27"/>
    </row>
    <row r="773">
      <c r="C773" s="26"/>
      <c r="D773" s="27"/>
      <c r="E773" s="27"/>
      <c r="F773" s="27"/>
      <c r="G773" s="27"/>
      <c r="H773" s="27"/>
      <c r="I773" s="27"/>
      <c r="J773" s="27"/>
    </row>
    <row r="774">
      <c r="C774" s="26"/>
      <c r="D774" s="27"/>
      <c r="E774" s="27"/>
      <c r="F774" s="27"/>
      <c r="G774" s="27"/>
      <c r="H774" s="27"/>
      <c r="I774" s="27"/>
      <c r="J774" s="27"/>
    </row>
    <row r="775">
      <c r="C775" s="26"/>
      <c r="D775" s="27"/>
      <c r="E775" s="27"/>
      <c r="F775" s="27"/>
      <c r="G775" s="27"/>
      <c r="H775" s="27"/>
      <c r="I775" s="27"/>
      <c r="J775" s="27"/>
    </row>
    <row r="776">
      <c r="C776" s="26"/>
      <c r="D776" s="27"/>
      <c r="E776" s="27"/>
      <c r="F776" s="27"/>
      <c r="G776" s="27"/>
      <c r="H776" s="27"/>
      <c r="I776" s="27"/>
      <c r="J776" s="27"/>
    </row>
    <row r="777">
      <c r="C777" s="26"/>
      <c r="D777" s="27"/>
      <c r="E777" s="27"/>
      <c r="F777" s="27"/>
      <c r="G777" s="27"/>
      <c r="H777" s="27"/>
      <c r="I777" s="27"/>
      <c r="J777" s="27"/>
    </row>
    <row r="778">
      <c r="C778" s="26"/>
      <c r="D778" s="27"/>
      <c r="E778" s="27"/>
      <c r="F778" s="27"/>
      <c r="G778" s="27"/>
      <c r="H778" s="27"/>
      <c r="I778" s="27"/>
      <c r="J778" s="27"/>
    </row>
    <row r="779">
      <c r="C779" s="26"/>
      <c r="D779" s="27"/>
      <c r="E779" s="27"/>
      <c r="F779" s="27"/>
      <c r="G779" s="27"/>
      <c r="H779" s="27"/>
      <c r="I779" s="27"/>
      <c r="J779" s="27"/>
    </row>
    <row r="780">
      <c r="C780" s="26"/>
      <c r="D780" s="27"/>
      <c r="E780" s="27"/>
      <c r="F780" s="27"/>
      <c r="G780" s="27"/>
      <c r="H780" s="27"/>
      <c r="I780" s="27"/>
      <c r="J780" s="27"/>
    </row>
    <row r="781">
      <c r="C781" s="26"/>
      <c r="D781" s="27"/>
      <c r="E781" s="27"/>
      <c r="F781" s="27"/>
      <c r="G781" s="27"/>
      <c r="H781" s="27"/>
      <c r="I781" s="27"/>
      <c r="J781" s="27"/>
    </row>
    <row r="782">
      <c r="C782" s="26"/>
      <c r="D782" s="27"/>
      <c r="E782" s="27"/>
      <c r="F782" s="27"/>
      <c r="G782" s="27"/>
      <c r="H782" s="27"/>
      <c r="I782" s="27"/>
      <c r="J782" s="27"/>
    </row>
    <row r="783">
      <c r="C783" s="26"/>
      <c r="D783" s="27"/>
      <c r="E783" s="27"/>
      <c r="F783" s="27"/>
      <c r="G783" s="27"/>
      <c r="H783" s="27"/>
      <c r="I783" s="27"/>
      <c r="J783" s="27"/>
    </row>
    <row r="784">
      <c r="C784" s="26"/>
      <c r="D784" s="27"/>
      <c r="E784" s="27"/>
      <c r="F784" s="27"/>
      <c r="G784" s="27"/>
      <c r="H784" s="27"/>
      <c r="I784" s="27"/>
      <c r="J784" s="27"/>
    </row>
    <row r="785">
      <c r="C785" s="26"/>
      <c r="D785" s="27"/>
      <c r="E785" s="27"/>
      <c r="F785" s="27"/>
      <c r="G785" s="27"/>
      <c r="H785" s="27"/>
      <c r="I785" s="27"/>
      <c r="J785" s="27"/>
    </row>
    <row r="786">
      <c r="C786" s="26"/>
      <c r="D786" s="27"/>
      <c r="E786" s="27"/>
      <c r="F786" s="27"/>
      <c r="G786" s="27"/>
      <c r="H786" s="27"/>
      <c r="I786" s="27"/>
      <c r="J786" s="27"/>
    </row>
    <row r="787">
      <c r="C787" s="26"/>
      <c r="D787" s="27"/>
      <c r="E787" s="27"/>
      <c r="F787" s="27"/>
      <c r="G787" s="27"/>
      <c r="H787" s="27"/>
      <c r="I787" s="27"/>
      <c r="J787" s="27"/>
    </row>
    <row r="788">
      <c r="C788" s="26"/>
      <c r="D788" s="27"/>
      <c r="E788" s="27"/>
      <c r="F788" s="27"/>
      <c r="G788" s="27"/>
      <c r="H788" s="27"/>
      <c r="I788" s="27"/>
      <c r="J788" s="27"/>
    </row>
    <row r="789">
      <c r="C789" s="26"/>
      <c r="D789" s="27"/>
      <c r="E789" s="27"/>
      <c r="F789" s="27"/>
      <c r="G789" s="27"/>
      <c r="H789" s="27"/>
      <c r="I789" s="27"/>
      <c r="J789" s="27"/>
    </row>
    <row r="790">
      <c r="C790" s="26"/>
      <c r="D790" s="27"/>
      <c r="E790" s="27"/>
      <c r="F790" s="27"/>
      <c r="G790" s="27"/>
      <c r="H790" s="27"/>
      <c r="I790" s="27"/>
      <c r="J790" s="27"/>
    </row>
    <row r="791">
      <c r="C791" s="26"/>
      <c r="D791" s="27"/>
      <c r="E791" s="27"/>
      <c r="F791" s="27"/>
      <c r="G791" s="27"/>
      <c r="H791" s="27"/>
      <c r="I791" s="27"/>
      <c r="J791" s="27"/>
    </row>
    <row r="792">
      <c r="C792" s="26"/>
      <c r="D792" s="27"/>
      <c r="E792" s="27"/>
      <c r="F792" s="27"/>
      <c r="G792" s="27"/>
      <c r="H792" s="27"/>
      <c r="I792" s="27"/>
      <c r="J792" s="27"/>
    </row>
    <row r="793">
      <c r="C793" s="26"/>
      <c r="D793" s="27"/>
      <c r="E793" s="27"/>
      <c r="F793" s="27"/>
      <c r="G793" s="27"/>
      <c r="H793" s="27"/>
      <c r="I793" s="27"/>
      <c r="J793" s="27"/>
    </row>
    <row r="794">
      <c r="C794" s="26"/>
      <c r="D794" s="27"/>
      <c r="E794" s="27"/>
      <c r="F794" s="27"/>
      <c r="G794" s="27"/>
      <c r="H794" s="27"/>
      <c r="I794" s="27"/>
      <c r="J794" s="27"/>
    </row>
    <row r="795">
      <c r="C795" s="26"/>
      <c r="D795" s="27"/>
      <c r="E795" s="27"/>
      <c r="F795" s="27"/>
      <c r="G795" s="27"/>
      <c r="H795" s="27"/>
      <c r="I795" s="27"/>
      <c r="J795" s="27"/>
    </row>
    <row r="796">
      <c r="C796" s="26"/>
      <c r="D796" s="27"/>
      <c r="E796" s="27"/>
      <c r="F796" s="27"/>
      <c r="G796" s="27"/>
      <c r="H796" s="27"/>
      <c r="I796" s="27"/>
      <c r="J796" s="27"/>
    </row>
    <row r="797">
      <c r="C797" s="26"/>
      <c r="D797" s="27"/>
      <c r="E797" s="27"/>
      <c r="F797" s="27"/>
      <c r="G797" s="27"/>
      <c r="H797" s="27"/>
      <c r="I797" s="27"/>
      <c r="J797" s="27"/>
    </row>
    <row r="798">
      <c r="C798" s="26"/>
      <c r="D798" s="27"/>
      <c r="E798" s="27"/>
      <c r="F798" s="27"/>
      <c r="G798" s="27"/>
      <c r="H798" s="27"/>
      <c r="I798" s="27"/>
      <c r="J798" s="27"/>
    </row>
    <row r="799">
      <c r="C799" s="26"/>
      <c r="D799" s="27"/>
      <c r="E799" s="27"/>
      <c r="F799" s="27"/>
      <c r="G799" s="27"/>
      <c r="H799" s="27"/>
      <c r="I799" s="27"/>
      <c r="J799" s="27"/>
    </row>
    <row r="800">
      <c r="C800" s="26"/>
      <c r="D800" s="27"/>
      <c r="E800" s="27"/>
      <c r="F800" s="27"/>
      <c r="G800" s="27"/>
      <c r="H800" s="27"/>
      <c r="I800" s="27"/>
      <c r="J800" s="27"/>
    </row>
    <row r="801">
      <c r="C801" s="26"/>
      <c r="D801" s="27"/>
      <c r="E801" s="27"/>
      <c r="F801" s="27"/>
      <c r="G801" s="27"/>
      <c r="H801" s="27"/>
      <c r="I801" s="27"/>
      <c r="J801" s="27"/>
    </row>
    <row r="802">
      <c r="C802" s="26"/>
      <c r="D802" s="27"/>
      <c r="E802" s="27"/>
      <c r="F802" s="27"/>
      <c r="G802" s="27"/>
      <c r="H802" s="27"/>
      <c r="I802" s="27"/>
      <c r="J802" s="27"/>
    </row>
    <row r="803">
      <c r="C803" s="26"/>
      <c r="D803" s="27"/>
      <c r="E803" s="27"/>
      <c r="F803" s="27"/>
      <c r="G803" s="27"/>
      <c r="H803" s="27"/>
      <c r="I803" s="27"/>
      <c r="J803" s="27"/>
    </row>
    <row r="804">
      <c r="C804" s="26"/>
      <c r="D804" s="27"/>
      <c r="E804" s="27"/>
      <c r="F804" s="27"/>
      <c r="G804" s="27"/>
      <c r="H804" s="27"/>
      <c r="I804" s="27"/>
      <c r="J804" s="27"/>
    </row>
    <row r="805">
      <c r="C805" s="26"/>
      <c r="D805" s="27"/>
      <c r="E805" s="27"/>
      <c r="F805" s="27"/>
      <c r="G805" s="27"/>
      <c r="H805" s="27"/>
      <c r="I805" s="27"/>
      <c r="J805" s="27"/>
    </row>
    <row r="806">
      <c r="C806" s="26"/>
      <c r="D806" s="27"/>
      <c r="E806" s="27"/>
      <c r="F806" s="27"/>
      <c r="G806" s="27"/>
      <c r="H806" s="27"/>
      <c r="I806" s="27"/>
      <c r="J806" s="27"/>
    </row>
    <row r="807">
      <c r="C807" s="26"/>
      <c r="D807" s="27"/>
      <c r="E807" s="27"/>
      <c r="F807" s="27"/>
      <c r="G807" s="27"/>
      <c r="H807" s="27"/>
      <c r="I807" s="27"/>
      <c r="J807" s="27"/>
    </row>
    <row r="808">
      <c r="C808" s="26"/>
      <c r="D808" s="27"/>
      <c r="E808" s="27"/>
      <c r="F808" s="27"/>
      <c r="G808" s="27"/>
      <c r="H808" s="27"/>
      <c r="I808" s="27"/>
      <c r="J808" s="27"/>
    </row>
    <row r="809">
      <c r="C809" s="26"/>
      <c r="D809" s="27"/>
      <c r="E809" s="27"/>
      <c r="F809" s="27"/>
      <c r="G809" s="27"/>
      <c r="H809" s="27"/>
      <c r="I809" s="27"/>
      <c r="J809" s="27"/>
    </row>
    <row r="810">
      <c r="C810" s="26"/>
      <c r="D810" s="27"/>
      <c r="E810" s="27"/>
      <c r="F810" s="27"/>
      <c r="G810" s="27"/>
      <c r="H810" s="27"/>
      <c r="I810" s="27"/>
      <c r="J810" s="27"/>
    </row>
    <row r="811">
      <c r="C811" s="26"/>
      <c r="D811" s="27"/>
      <c r="E811" s="27"/>
      <c r="F811" s="27"/>
      <c r="G811" s="27"/>
      <c r="H811" s="27"/>
      <c r="I811" s="27"/>
      <c r="J811" s="27"/>
    </row>
    <row r="812">
      <c r="C812" s="26"/>
      <c r="D812" s="27"/>
      <c r="E812" s="27"/>
      <c r="F812" s="27"/>
      <c r="G812" s="27"/>
      <c r="H812" s="27"/>
      <c r="I812" s="27"/>
      <c r="J812" s="27"/>
    </row>
    <row r="813">
      <c r="C813" s="26"/>
      <c r="D813" s="27"/>
      <c r="E813" s="27"/>
      <c r="F813" s="27"/>
      <c r="G813" s="27"/>
      <c r="H813" s="27"/>
      <c r="I813" s="27"/>
      <c r="J813" s="27"/>
    </row>
    <row r="814">
      <c r="C814" s="26"/>
      <c r="D814" s="27"/>
      <c r="E814" s="27"/>
      <c r="F814" s="27"/>
      <c r="G814" s="27"/>
      <c r="H814" s="27"/>
      <c r="I814" s="27"/>
      <c r="J814" s="27"/>
    </row>
    <row r="815">
      <c r="C815" s="26"/>
      <c r="D815" s="27"/>
      <c r="E815" s="27"/>
      <c r="F815" s="27"/>
      <c r="G815" s="27"/>
      <c r="H815" s="27"/>
      <c r="I815" s="27"/>
      <c r="J815" s="27"/>
    </row>
    <row r="816">
      <c r="C816" s="26"/>
      <c r="D816" s="27"/>
      <c r="E816" s="27"/>
      <c r="F816" s="27"/>
      <c r="G816" s="27"/>
      <c r="H816" s="27"/>
      <c r="I816" s="27"/>
      <c r="J816" s="27"/>
    </row>
    <row r="817">
      <c r="C817" s="26"/>
      <c r="D817" s="27"/>
      <c r="E817" s="27"/>
      <c r="F817" s="27"/>
      <c r="G817" s="27"/>
      <c r="H817" s="27"/>
      <c r="I817" s="27"/>
      <c r="J817" s="27"/>
    </row>
    <row r="818">
      <c r="C818" s="26"/>
      <c r="D818" s="27"/>
      <c r="E818" s="27"/>
      <c r="F818" s="27"/>
      <c r="G818" s="27"/>
      <c r="H818" s="27"/>
      <c r="I818" s="27"/>
      <c r="J818" s="27"/>
    </row>
    <row r="819">
      <c r="C819" s="26"/>
      <c r="D819" s="27"/>
      <c r="E819" s="27"/>
      <c r="F819" s="27"/>
      <c r="G819" s="27"/>
      <c r="H819" s="27"/>
      <c r="I819" s="27"/>
      <c r="J819" s="27"/>
    </row>
    <row r="820">
      <c r="C820" s="26"/>
      <c r="D820" s="27"/>
      <c r="E820" s="27"/>
      <c r="F820" s="27"/>
      <c r="G820" s="27"/>
      <c r="H820" s="27"/>
      <c r="I820" s="27"/>
      <c r="J820" s="27"/>
    </row>
    <row r="821">
      <c r="C821" s="26"/>
      <c r="D821" s="27"/>
      <c r="E821" s="27"/>
      <c r="F821" s="27"/>
      <c r="G821" s="27"/>
      <c r="H821" s="27"/>
      <c r="I821" s="27"/>
      <c r="J821" s="27"/>
    </row>
    <row r="822">
      <c r="C822" s="26"/>
      <c r="D822" s="27"/>
      <c r="E822" s="27"/>
      <c r="F822" s="27"/>
      <c r="G822" s="27"/>
      <c r="H822" s="27"/>
      <c r="I822" s="27"/>
      <c r="J822" s="27"/>
    </row>
    <row r="823">
      <c r="C823" s="26"/>
      <c r="D823" s="27"/>
      <c r="E823" s="27"/>
      <c r="F823" s="27"/>
      <c r="G823" s="27"/>
      <c r="H823" s="27"/>
      <c r="I823" s="27"/>
      <c r="J823" s="27"/>
    </row>
    <row r="824">
      <c r="C824" s="26"/>
      <c r="D824" s="27"/>
      <c r="E824" s="27"/>
      <c r="F824" s="27"/>
      <c r="G824" s="27"/>
      <c r="H824" s="27"/>
      <c r="I824" s="27"/>
      <c r="J824" s="27"/>
    </row>
    <row r="825">
      <c r="C825" s="26"/>
      <c r="D825" s="27"/>
      <c r="E825" s="27"/>
      <c r="F825" s="27"/>
      <c r="G825" s="27"/>
      <c r="H825" s="27"/>
      <c r="I825" s="27"/>
      <c r="J825" s="27"/>
    </row>
    <row r="826">
      <c r="C826" s="26"/>
      <c r="D826" s="27"/>
      <c r="E826" s="27"/>
      <c r="F826" s="27"/>
      <c r="G826" s="27"/>
      <c r="H826" s="27"/>
      <c r="I826" s="27"/>
      <c r="J826" s="27"/>
    </row>
    <row r="827">
      <c r="C827" s="26"/>
      <c r="D827" s="27"/>
      <c r="E827" s="27"/>
      <c r="F827" s="27"/>
      <c r="G827" s="27"/>
      <c r="H827" s="27"/>
      <c r="I827" s="27"/>
      <c r="J827" s="27"/>
    </row>
    <row r="828">
      <c r="C828" s="26"/>
      <c r="D828" s="27"/>
      <c r="E828" s="27"/>
      <c r="F828" s="27"/>
      <c r="G828" s="27"/>
      <c r="H828" s="27"/>
      <c r="I828" s="27"/>
      <c r="J828" s="27"/>
    </row>
    <row r="829">
      <c r="C829" s="26"/>
      <c r="D829" s="27"/>
      <c r="E829" s="27"/>
      <c r="F829" s="27"/>
      <c r="G829" s="27"/>
      <c r="H829" s="27"/>
      <c r="I829" s="27"/>
      <c r="J829" s="27"/>
    </row>
    <row r="830">
      <c r="C830" s="26"/>
      <c r="D830" s="27"/>
      <c r="E830" s="27"/>
      <c r="F830" s="27"/>
      <c r="G830" s="27"/>
      <c r="H830" s="27"/>
      <c r="I830" s="27"/>
      <c r="J830" s="27"/>
    </row>
    <row r="831">
      <c r="C831" s="26"/>
      <c r="D831" s="27"/>
      <c r="E831" s="27"/>
      <c r="F831" s="27"/>
      <c r="G831" s="27"/>
      <c r="H831" s="27"/>
      <c r="I831" s="27"/>
      <c r="J831" s="27"/>
    </row>
    <row r="832">
      <c r="C832" s="26"/>
      <c r="D832" s="27"/>
      <c r="E832" s="27"/>
      <c r="F832" s="27"/>
      <c r="G832" s="27"/>
      <c r="H832" s="27"/>
      <c r="I832" s="27"/>
      <c r="J832" s="27"/>
    </row>
    <row r="833">
      <c r="C833" s="26"/>
      <c r="D833" s="27"/>
      <c r="E833" s="27"/>
      <c r="F833" s="27"/>
      <c r="G833" s="27"/>
      <c r="H833" s="27"/>
      <c r="I833" s="27"/>
      <c r="J833" s="27"/>
    </row>
    <row r="834">
      <c r="C834" s="26"/>
      <c r="D834" s="27"/>
      <c r="E834" s="27"/>
      <c r="F834" s="27"/>
      <c r="G834" s="27"/>
      <c r="H834" s="27"/>
      <c r="I834" s="27"/>
      <c r="J834" s="27"/>
    </row>
    <row r="835">
      <c r="C835" s="26"/>
      <c r="D835" s="27"/>
      <c r="E835" s="27"/>
      <c r="F835" s="27"/>
      <c r="G835" s="27"/>
      <c r="H835" s="27"/>
      <c r="I835" s="27"/>
      <c r="J835" s="27"/>
    </row>
    <row r="836">
      <c r="C836" s="26"/>
      <c r="D836" s="27"/>
      <c r="E836" s="27"/>
      <c r="F836" s="27"/>
      <c r="G836" s="27"/>
      <c r="H836" s="27"/>
      <c r="I836" s="27"/>
      <c r="J836" s="27"/>
    </row>
    <row r="837">
      <c r="C837" s="26"/>
      <c r="D837" s="27"/>
      <c r="E837" s="27"/>
      <c r="F837" s="27"/>
      <c r="G837" s="27"/>
      <c r="H837" s="27"/>
      <c r="I837" s="27"/>
      <c r="J837" s="27"/>
    </row>
    <row r="838">
      <c r="C838" s="26"/>
      <c r="D838" s="27"/>
      <c r="E838" s="27"/>
      <c r="F838" s="27"/>
      <c r="G838" s="27"/>
      <c r="H838" s="27"/>
      <c r="I838" s="27"/>
      <c r="J838" s="27"/>
    </row>
    <row r="839">
      <c r="C839" s="26"/>
      <c r="D839" s="27"/>
      <c r="E839" s="27"/>
      <c r="F839" s="27"/>
      <c r="G839" s="27"/>
      <c r="H839" s="27"/>
      <c r="I839" s="27"/>
      <c r="J839" s="27"/>
    </row>
    <row r="840">
      <c r="C840" s="26"/>
      <c r="D840" s="27"/>
      <c r="E840" s="27"/>
      <c r="F840" s="27"/>
      <c r="G840" s="27"/>
      <c r="H840" s="27"/>
      <c r="I840" s="27"/>
      <c r="J840" s="27"/>
    </row>
    <row r="841">
      <c r="C841" s="26"/>
      <c r="D841" s="27"/>
      <c r="E841" s="27"/>
      <c r="F841" s="27"/>
      <c r="G841" s="27"/>
      <c r="H841" s="27"/>
      <c r="I841" s="27"/>
      <c r="J841" s="27"/>
    </row>
    <row r="842">
      <c r="C842" s="26"/>
      <c r="D842" s="27"/>
      <c r="E842" s="27"/>
      <c r="F842" s="27"/>
      <c r="G842" s="27"/>
      <c r="H842" s="27"/>
      <c r="I842" s="27"/>
      <c r="J842" s="27"/>
    </row>
    <row r="843">
      <c r="C843" s="26"/>
      <c r="D843" s="27"/>
      <c r="E843" s="27"/>
      <c r="F843" s="27"/>
      <c r="G843" s="27"/>
      <c r="H843" s="27"/>
      <c r="I843" s="27"/>
      <c r="J843" s="27"/>
    </row>
    <row r="844">
      <c r="C844" s="26"/>
      <c r="D844" s="27"/>
      <c r="E844" s="27"/>
      <c r="F844" s="27"/>
      <c r="G844" s="27"/>
      <c r="H844" s="27"/>
      <c r="I844" s="27"/>
      <c r="J844" s="27"/>
    </row>
    <row r="845">
      <c r="C845" s="26"/>
      <c r="D845" s="27"/>
      <c r="E845" s="27"/>
      <c r="F845" s="27"/>
      <c r="G845" s="27"/>
      <c r="H845" s="27"/>
      <c r="I845" s="27"/>
      <c r="J845" s="27"/>
    </row>
    <row r="846">
      <c r="C846" s="26"/>
      <c r="D846" s="27"/>
      <c r="E846" s="27"/>
      <c r="F846" s="27"/>
      <c r="G846" s="27"/>
      <c r="H846" s="27"/>
      <c r="I846" s="27"/>
      <c r="J846" s="27"/>
    </row>
    <row r="847">
      <c r="C847" s="26"/>
      <c r="D847" s="27"/>
      <c r="E847" s="27"/>
      <c r="F847" s="27"/>
      <c r="G847" s="27"/>
      <c r="H847" s="27"/>
      <c r="I847" s="27"/>
      <c r="J847" s="27"/>
    </row>
    <row r="848">
      <c r="C848" s="26"/>
      <c r="D848" s="27"/>
      <c r="E848" s="27"/>
      <c r="F848" s="27"/>
      <c r="G848" s="27"/>
      <c r="H848" s="27"/>
      <c r="I848" s="27"/>
      <c r="J848" s="27"/>
    </row>
    <row r="849">
      <c r="C849" s="26"/>
      <c r="D849" s="27"/>
      <c r="E849" s="27"/>
      <c r="F849" s="27"/>
      <c r="G849" s="27"/>
      <c r="H849" s="27"/>
      <c r="I849" s="27"/>
      <c r="J849" s="27"/>
    </row>
    <row r="850">
      <c r="C850" s="26"/>
      <c r="D850" s="27"/>
      <c r="E850" s="27"/>
      <c r="F850" s="27"/>
      <c r="G850" s="27"/>
      <c r="H850" s="27"/>
      <c r="I850" s="27"/>
      <c r="J850" s="27"/>
    </row>
    <row r="851">
      <c r="C851" s="26"/>
      <c r="D851" s="27"/>
      <c r="E851" s="27"/>
      <c r="F851" s="27"/>
      <c r="G851" s="27"/>
      <c r="H851" s="27"/>
      <c r="I851" s="27"/>
      <c r="J851" s="27"/>
    </row>
    <row r="852">
      <c r="C852" s="26"/>
      <c r="D852" s="27"/>
      <c r="E852" s="27"/>
      <c r="F852" s="27"/>
      <c r="G852" s="27"/>
      <c r="H852" s="27"/>
      <c r="I852" s="27"/>
      <c r="J852" s="27"/>
    </row>
    <row r="853">
      <c r="C853" s="26"/>
      <c r="D853" s="27"/>
      <c r="E853" s="27"/>
      <c r="F853" s="27"/>
      <c r="G853" s="27"/>
      <c r="H853" s="27"/>
      <c r="I853" s="27"/>
      <c r="J853" s="27"/>
    </row>
    <row r="854">
      <c r="C854" s="26"/>
      <c r="D854" s="27"/>
      <c r="E854" s="27"/>
      <c r="F854" s="27"/>
      <c r="G854" s="27"/>
      <c r="H854" s="27"/>
      <c r="I854" s="27"/>
      <c r="J854" s="27"/>
    </row>
    <row r="855">
      <c r="C855" s="26"/>
      <c r="D855" s="27"/>
      <c r="E855" s="27"/>
      <c r="F855" s="27"/>
      <c r="G855" s="27"/>
      <c r="H855" s="27"/>
      <c r="I855" s="27"/>
      <c r="J855" s="27"/>
    </row>
    <row r="856">
      <c r="C856" s="26"/>
      <c r="D856" s="27"/>
      <c r="E856" s="27"/>
      <c r="F856" s="27"/>
      <c r="G856" s="27"/>
      <c r="H856" s="27"/>
      <c r="I856" s="27"/>
      <c r="J856" s="27"/>
    </row>
    <row r="857">
      <c r="C857" s="26"/>
      <c r="D857" s="27"/>
      <c r="E857" s="27"/>
      <c r="F857" s="27"/>
      <c r="G857" s="27"/>
      <c r="H857" s="27"/>
      <c r="I857" s="27"/>
      <c r="J857" s="27"/>
    </row>
    <row r="858">
      <c r="C858" s="26"/>
      <c r="D858" s="27"/>
      <c r="E858" s="27"/>
      <c r="F858" s="27"/>
      <c r="G858" s="27"/>
      <c r="H858" s="27"/>
      <c r="I858" s="27"/>
      <c r="J858" s="27"/>
    </row>
    <row r="859">
      <c r="C859" s="26"/>
      <c r="D859" s="27"/>
      <c r="E859" s="27"/>
      <c r="F859" s="27"/>
      <c r="G859" s="27"/>
      <c r="H859" s="27"/>
      <c r="I859" s="27"/>
      <c r="J859" s="27"/>
    </row>
    <row r="860">
      <c r="C860" s="26"/>
      <c r="D860" s="27"/>
      <c r="E860" s="27"/>
      <c r="F860" s="27"/>
      <c r="G860" s="27"/>
      <c r="H860" s="27"/>
      <c r="I860" s="27"/>
      <c r="J860" s="27"/>
    </row>
    <row r="861">
      <c r="C861" s="26"/>
      <c r="D861" s="27"/>
      <c r="E861" s="27"/>
      <c r="F861" s="27"/>
      <c r="G861" s="27"/>
      <c r="H861" s="27"/>
      <c r="I861" s="27"/>
      <c r="J861" s="27"/>
    </row>
    <row r="862">
      <c r="C862" s="26"/>
      <c r="D862" s="27"/>
      <c r="E862" s="27"/>
      <c r="F862" s="27"/>
      <c r="G862" s="27"/>
      <c r="H862" s="27"/>
      <c r="I862" s="27"/>
      <c r="J862" s="27"/>
    </row>
    <row r="863">
      <c r="C863" s="26"/>
      <c r="D863" s="27"/>
      <c r="E863" s="27"/>
      <c r="F863" s="27"/>
      <c r="G863" s="27"/>
      <c r="H863" s="27"/>
      <c r="I863" s="27"/>
      <c r="J863" s="27"/>
    </row>
    <row r="864">
      <c r="C864" s="26"/>
      <c r="D864" s="27"/>
      <c r="E864" s="27"/>
      <c r="F864" s="27"/>
      <c r="G864" s="27"/>
      <c r="H864" s="27"/>
      <c r="I864" s="27"/>
      <c r="J864" s="27"/>
    </row>
    <row r="865">
      <c r="C865" s="26"/>
      <c r="D865" s="27"/>
      <c r="E865" s="27"/>
      <c r="F865" s="27"/>
      <c r="G865" s="27"/>
      <c r="H865" s="27"/>
      <c r="I865" s="27"/>
      <c r="J865" s="27"/>
    </row>
    <row r="866">
      <c r="C866" s="26"/>
      <c r="D866" s="27"/>
      <c r="E866" s="27"/>
      <c r="F866" s="27"/>
      <c r="G866" s="27"/>
      <c r="H866" s="27"/>
      <c r="I866" s="27"/>
      <c r="J866" s="27"/>
    </row>
    <row r="867">
      <c r="C867" s="26"/>
      <c r="D867" s="27"/>
      <c r="E867" s="27"/>
      <c r="F867" s="27"/>
      <c r="G867" s="27"/>
      <c r="H867" s="27"/>
      <c r="I867" s="27"/>
      <c r="J867" s="27"/>
    </row>
    <row r="868">
      <c r="C868" s="26"/>
      <c r="D868" s="27"/>
      <c r="E868" s="27"/>
      <c r="F868" s="27"/>
      <c r="G868" s="27"/>
      <c r="H868" s="27"/>
      <c r="I868" s="27"/>
      <c r="J868" s="27"/>
    </row>
    <row r="869">
      <c r="C869" s="26"/>
      <c r="D869" s="27"/>
      <c r="E869" s="27"/>
      <c r="F869" s="27"/>
      <c r="G869" s="27"/>
      <c r="H869" s="27"/>
      <c r="I869" s="27"/>
      <c r="J869" s="27"/>
    </row>
    <row r="870">
      <c r="C870" s="26"/>
      <c r="D870" s="27"/>
      <c r="E870" s="27"/>
      <c r="F870" s="27"/>
      <c r="G870" s="27"/>
      <c r="H870" s="27"/>
      <c r="I870" s="27"/>
      <c r="J870" s="27"/>
    </row>
    <row r="871">
      <c r="C871" s="26"/>
      <c r="D871" s="27"/>
      <c r="E871" s="27"/>
      <c r="F871" s="27"/>
      <c r="G871" s="27"/>
      <c r="H871" s="27"/>
      <c r="I871" s="27"/>
      <c r="J871" s="27"/>
    </row>
    <row r="872">
      <c r="C872" s="26"/>
      <c r="D872" s="27"/>
      <c r="E872" s="27"/>
      <c r="F872" s="27"/>
      <c r="G872" s="27"/>
      <c r="H872" s="27"/>
      <c r="I872" s="27"/>
      <c r="J872" s="27"/>
    </row>
    <row r="873">
      <c r="C873" s="26"/>
      <c r="D873" s="27"/>
      <c r="E873" s="27"/>
      <c r="F873" s="27"/>
      <c r="G873" s="27"/>
      <c r="H873" s="27"/>
      <c r="I873" s="27"/>
      <c r="J873" s="27"/>
    </row>
    <row r="874">
      <c r="C874" s="26"/>
      <c r="D874" s="27"/>
      <c r="E874" s="27"/>
      <c r="F874" s="27"/>
      <c r="G874" s="27"/>
      <c r="H874" s="27"/>
      <c r="I874" s="27"/>
      <c r="J874" s="27"/>
    </row>
    <row r="875">
      <c r="C875" s="26"/>
      <c r="D875" s="27"/>
      <c r="E875" s="27"/>
      <c r="F875" s="27"/>
      <c r="G875" s="27"/>
      <c r="H875" s="27"/>
      <c r="I875" s="27"/>
      <c r="J875" s="27"/>
    </row>
    <row r="876">
      <c r="C876" s="26"/>
      <c r="D876" s="27"/>
      <c r="E876" s="27"/>
      <c r="F876" s="27"/>
      <c r="G876" s="27"/>
      <c r="H876" s="27"/>
      <c r="I876" s="27"/>
      <c r="J876" s="27"/>
    </row>
    <row r="877">
      <c r="C877" s="26"/>
      <c r="D877" s="27"/>
      <c r="E877" s="27"/>
      <c r="F877" s="27"/>
      <c r="G877" s="27"/>
      <c r="H877" s="27"/>
      <c r="I877" s="27"/>
      <c r="J877" s="27"/>
    </row>
    <row r="878">
      <c r="C878" s="26"/>
      <c r="D878" s="27"/>
      <c r="E878" s="27"/>
      <c r="F878" s="27"/>
      <c r="G878" s="27"/>
      <c r="H878" s="27"/>
      <c r="I878" s="27"/>
      <c r="J878" s="27"/>
    </row>
    <row r="879">
      <c r="C879" s="26"/>
      <c r="D879" s="27"/>
      <c r="E879" s="27"/>
      <c r="F879" s="27"/>
      <c r="G879" s="27"/>
      <c r="H879" s="27"/>
      <c r="I879" s="27"/>
      <c r="J879" s="27"/>
    </row>
    <row r="880">
      <c r="C880" s="26"/>
      <c r="D880" s="27"/>
      <c r="E880" s="27"/>
      <c r="F880" s="27"/>
      <c r="G880" s="27"/>
      <c r="H880" s="27"/>
      <c r="I880" s="27"/>
      <c r="J880" s="27"/>
    </row>
    <row r="881">
      <c r="C881" s="26"/>
      <c r="D881" s="27"/>
      <c r="E881" s="27"/>
      <c r="F881" s="27"/>
      <c r="G881" s="27"/>
      <c r="H881" s="27"/>
      <c r="I881" s="27"/>
      <c r="J881" s="27"/>
    </row>
    <row r="882">
      <c r="C882" s="26"/>
      <c r="D882" s="27"/>
      <c r="E882" s="27"/>
      <c r="F882" s="27"/>
      <c r="G882" s="27"/>
      <c r="H882" s="27"/>
      <c r="I882" s="27"/>
      <c r="J882" s="27"/>
    </row>
    <row r="883">
      <c r="C883" s="26"/>
      <c r="D883" s="27"/>
      <c r="E883" s="27"/>
      <c r="F883" s="27"/>
      <c r="G883" s="27"/>
      <c r="H883" s="27"/>
      <c r="I883" s="27"/>
      <c r="J883" s="27"/>
    </row>
    <row r="884">
      <c r="C884" s="26"/>
      <c r="D884" s="27"/>
      <c r="E884" s="27"/>
      <c r="F884" s="27"/>
      <c r="G884" s="27"/>
      <c r="H884" s="27"/>
      <c r="I884" s="27"/>
      <c r="J884" s="27"/>
    </row>
    <row r="885">
      <c r="C885" s="26"/>
      <c r="D885" s="27"/>
      <c r="E885" s="27"/>
      <c r="F885" s="27"/>
      <c r="G885" s="27"/>
      <c r="H885" s="27"/>
      <c r="I885" s="27"/>
      <c r="J885" s="27"/>
    </row>
    <row r="886">
      <c r="C886" s="26"/>
      <c r="D886" s="27"/>
      <c r="E886" s="27"/>
      <c r="F886" s="27"/>
      <c r="G886" s="27"/>
      <c r="H886" s="27"/>
      <c r="I886" s="27"/>
      <c r="J886" s="27"/>
    </row>
    <row r="887">
      <c r="C887" s="26"/>
      <c r="D887" s="27"/>
      <c r="E887" s="27"/>
      <c r="F887" s="27"/>
      <c r="G887" s="27"/>
      <c r="H887" s="27"/>
      <c r="I887" s="27"/>
      <c r="J887" s="27"/>
    </row>
    <row r="888">
      <c r="C888" s="26"/>
      <c r="D888" s="27"/>
      <c r="E888" s="27"/>
      <c r="F888" s="27"/>
      <c r="G888" s="27"/>
      <c r="H888" s="27"/>
      <c r="I888" s="27"/>
      <c r="J888" s="27"/>
    </row>
    <row r="889">
      <c r="C889" s="26"/>
      <c r="D889" s="27"/>
      <c r="E889" s="27"/>
      <c r="F889" s="27"/>
      <c r="G889" s="27"/>
      <c r="H889" s="27"/>
      <c r="I889" s="27"/>
      <c r="J889" s="27"/>
    </row>
    <row r="890">
      <c r="C890" s="26"/>
      <c r="D890" s="27"/>
      <c r="E890" s="27"/>
      <c r="F890" s="27"/>
      <c r="G890" s="27"/>
      <c r="H890" s="27"/>
      <c r="I890" s="27"/>
      <c r="J890" s="27"/>
    </row>
    <row r="891">
      <c r="C891" s="26"/>
      <c r="D891" s="27"/>
      <c r="E891" s="27"/>
      <c r="F891" s="27"/>
      <c r="G891" s="27"/>
      <c r="H891" s="27"/>
      <c r="I891" s="27"/>
      <c r="J891" s="27"/>
    </row>
    <row r="892">
      <c r="C892" s="26"/>
      <c r="D892" s="27"/>
      <c r="E892" s="27"/>
      <c r="F892" s="27"/>
      <c r="G892" s="27"/>
      <c r="H892" s="27"/>
      <c r="I892" s="27"/>
      <c r="J892" s="27"/>
    </row>
    <row r="893">
      <c r="C893" s="26"/>
      <c r="D893" s="27"/>
      <c r="E893" s="27"/>
      <c r="F893" s="27"/>
      <c r="G893" s="27"/>
      <c r="H893" s="27"/>
      <c r="I893" s="27"/>
      <c r="J893" s="27"/>
    </row>
    <row r="894">
      <c r="C894" s="26"/>
      <c r="D894" s="27"/>
      <c r="E894" s="27"/>
      <c r="F894" s="27"/>
      <c r="G894" s="27"/>
      <c r="H894" s="27"/>
      <c r="I894" s="27"/>
      <c r="J894" s="27"/>
    </row>
    <row r="895">
      <c r="C895" s="26"/>
      <c r="D895" s="27"/>
      <c r="E895" s="27"/>
      <c r="F895" s="27"/>
      <c r="G895" s="27"/>
      <c r="H895" s="27"/>
      <c r="I895" s="27"/>
      <c r="J895" s="27"/>
    </row>
    <row r="896">
      <c r="C896" s="26"/>
      <c r="D896" s="27"/>
      <c r="E896" s="27"/>
      <c r="F896" s="27"/>
      <c r="G896" s="27"/>
      <c r="H896" s="27"/>
      <c r="I896" s="27"/>
      <c r="J896" s="27"/>
    </row>
    <row r="897">
      <c r="C897" s="26"/>
      <c r="D897" s="27"/>
      <c r="E897" s="27"/>
      <c r="F897" s="27"/>
      <c r="G897" s="27"/>
      <c r="H897" s="27"/>
      <c r="I897" s="27"/>
      <c r="J897" s="27"/>
    </row>
    <row r="898">
      <c r="C898" s="26"/>
      <c r="D898" s="27"/>
      <c r="E898" s="27"/>
      <c r="F898" s="27"/>
      <c r="G898" s="27"/>
      <c r="H898" s="27"/>
      <c r="I898" s="27"/>
      <c r="J898" s="27"/>
    </row>
    <row r="899">
      <c r="C899" s="26"/>
      <c r="D899" s="27"/>
      <c r="E899" s="27"/>
      <c r="F899" s="27"/>
      <c r="G899" s="27"/>
      <c r="H899" s="27"/>
      <c r="I899" s="27"/>
      <c r="J899" s="27"/>
    </row>
    <row r="900">
      <c r="C900" s="26"/>
      <c r="D900" s="27"/>
      <c r="E900" s="27"/>
      <c r="F900" s="27"/>
      <c r="G900" s="27"/>
      <c r="H900" s="27"/>
      <c r="I900" s="27"/>
      <c r="J900" s="27"/>
    </row>
    <row r="901">
      <c r="C901" s="26"/>
      <c r="D901" s="27"/>
      <c r="E901" s="27"/>
      <c r="F901" s="27"/>
      <c r="G901" s="27"/>
      <c r="H901" s="27"/>
      <c r="I901" s="27"/>
      <c r="J901" s="27"/>
    </row>
    <row r="902">
      <c r="C902" s="26"/>
      <c r="D902" s="27"/>
      <c r="E902" s="27"/>
      <c r="F902" s="27"/>
      <c r="G902" s="27"/>
      <c r="H902" s="27"/>
      <c r="I902" s="27"/>
      <c r="J902" s="27"/>
    </row>
    <row r="903">
      <c r="C903" s="26"/>
      <c r="D903" s="27"/>
      <c r="E903" s="27"/>
      <c r="F903" s="27"/>
      <c r="G903" s="27"/>
      <c r="H903" s="27"/>
      <c r="I903" s="27"/>
      <c r="J903" s="27"/>
    </row>
    <row r="904">
      <c r="C904" s="26"/>
      <c r="D904" s="27"/>
      <c r="E904" s="27"/>
      <c r="F904" s="27"/>
      <c r="G904" s="27"/>
      <c r="H904" s="27"/>
      <c r="I904" s="27"/>
      <c r="J904" s="27"/>
    </row>
    <row r="905">
      <c r="C905" s="26"/>
      <c r="D905" s="27"/>
      <c r="E905" s="27"/>
      <c r="F905" s="27"/>
      <c r="G905" s="27"/>
      <c r="H905" s="27"/>
      <c r="I905" s="27"/>
      <c r="J905" s="27"/>
    </row>
    <row r="906">
      <c r="C906" s="26"/>
      <c r="D906" s="27"/>
      <c r="E906" s="27"/>
      <c r="F906" s="27"/>
      <c r="G906" s="27"/>
      <c r="H906" s="27"/>
      <c r="I906" s="27"/>
      <c r="J906" s="27"/>
    </row>
    <row r="907">
      <c r="C907" s="26"/>
      <c r="D907" s="27"/>
      <c r="E907" s="27"/>
      <c r="F907" s="27"/>
      <c r="G907" s="27"/>
      <c r="H907" s="27"/>
      <c r="I907" s="27"/>
      <c r="J907" s="27"/>
    </row>
    <row r="908">
      <c r="C908" s="26"/>
      <c r="D908" s="27"/>
      <c r="E908" s="27"/>
      <c r="F908" s="27"/>
      <c r="G908" s="27"/>
      <c r="H908" s="27"/>
      <c r="I908" s="27"/>
      <c r="J908" s="27"/>
    </row>
    <row r="909">
      <c r="C909" s="26"/>
      <c r="D909" s="27"/>
      <c r="E909" s="27"/>
      <c r="F909" s="27"/>
      <c r="G909" s="27"/>
      <c r="H909" s="27"/>
      <c r="I909" s="27"/>
      <c r="J909" s="27"/>
    </row>
    <row r="910">
      <c r="C910" s="26"/>
      <c r="D910" s="27"/>
      <c r="E910" s="27"/>
      <c r="F910" s="27"/>
      <c r="G910" s="27"/>
      <c r="H910" s="27"/>
      <c r="I910" s="27"/>
      <c r="J910" s="27"/>
    </row>
    <row r="911">
      <c r="C911" s="26"/>
      <c r="D911" s="27"/>
      <c r="E911" s="27"/>
      <c r="F911" s="27"/>
      <c r="G911" s="27"/>
      <c r="H911" s="27"/>
      <c r="I911" s="27"/>
      <c r="J911" s="27"/>
    </row>
    <row r="912">
      <c r="C912" s="26"/>
      <c r="D912" s="27"/>
      <c r="E912" s="27"/>
      <c r="F912" s="27"/>
      <c r="G912" s="27"/>
      <c r="H912" s="27"/>
      <c r="I912" s="27"/>
      <c r="J912" s="27"/>
    </row>
    <row r="913">
      <c r="C913" s="26"/>
      <c r="D913" s="27"/>
      <c r="E913" s="27"/>
      <c r="F913" s="27"/>
      <c r="G913" s="27"/>
      <c r="H913" s="27"/>
      <c r="I913" s="27"/>
      <c r="J913" s="27"/>
    </row>
    <row r="914">
      <c r="C914" s="26"/>
      <c r="D914" s="27"/>
      <c r="E914" s="27"/>
      <c r="F914" s="27"/>
      <c r="G914" s="27"/>
      <c r="H914" s="27"/>
      <c r="I914" s="27"/>
      <c r="J914" s="27"/>
    </row>
    <row r="915">
      <c r="C915" s="26"/>
      <c r="D915" s="27"/>
      <c r="E915" s="27"/>
      <c r="F915" s="27"/>
      <c r="G915" s="27"/>
      <c r="H915" s="27"/>
      <c r="I915" s="27"/>
      <c r="J915" s="27"/>
    </row>
    <row r="916">
      <c r="C916" s="26"/>
      <c r="D916" s="27"/>
      <c r="E916" s="27"/>
      <c r="F916" s="27"/>
      <c r="G916" s="27"/>
      <c r="H916" s="27"/>
      <c r="I916" s="27"/>
      <c r="J916" s="27"/>
    </row>
    <row r="917">
      <c r="C917" s="26"/>
      <c r="D917" s="27"/>
      <c r="E917" s="27"/>
      <c r="F917" s="27"/>
      <c r="G917" s="27"/>
      <c r="H917" s="27"/>
      <c r="I917" s="27"/>
      <c r="J917" s="27"/>
    </row>
    <row r="918">
      <c r="C918" s="26"/>
      <c r="D918" s="27"/>
      <c r="E918" s="27"/>
      <c r="F918" s="27"/>
      <c r="G918" s="27"/>
      <c r="H918" s="27"/>
      <c r="I918" s="27"/>
      <c r="J918" s="27"/>
    </row>
    <row r="919">
      <c r="C919" s="26"/>
      <c r="D919" s="27"/>
      <c r="E919" s="27"/>
      <c r="F919" s="27"/>
      <c r="G919" s="27"/>
      <c r="H919" s="27"/>
      <c r="I919" s="27"/>
      <c r="J919" s="27"/>
    </row>
    <row r="920">
      <c r="C920" s="26"/>
      <c r="D920" s="27"/>
      <c r="E920" s="27"/>
      <c r="F920" s="27"/>
      <c r="G920" s="27"/>
      <c r="H920" s="27"/>
      <c r="I920" s="27"/>
      <c r="J920" s="27"/>
    </row>
    <row r="921">
      <c r="C921" s="26"/>
      <c r="D921" s="27"/>
      <c r="E921" s="27"/>
      <c r="F921" s="27"/>
      <c r="G921" s="27"/>
      <c r="H921" s="27"/>
      <c r="I921" s="27"/>
      <c r="J921" s="27"/>
    </row>
    <row r="922">
      <c r="C922" s="26"/>
      <c r="D922" s="27"/>
      <c r="E922" s="27"/>
      <c r="F922" s="27"/>
      <c r="G922" s="27"/>
      <c r="H922" s="27"/>
      <c r="I922" s="27"/>
      <c r="J922" s="27"/>
    </row>
    <row r="923">
      <c r="C923" s="26"/>
      <c r="D923" s="27"/>
      <c r="E923" s="27"/>
      <c r="F923" s="27"/>
      <c r="G923" s="27"/>
      <c r="H923" s="27"/>
      <c r="I923" s="27"/>
      <c r="J923" s="27"/>
    </row>
    <row r="924">
      <c r="C924" s="26"/>
      <c r="D924" s="27"/>
      <c r="E924" s="27"/>
      <c r="F924" s="27"/>
      <c r="G924" s="27"/>
      <c r="H924" s="27"/>
      <c r="I924" s="27"/>
      <c r="J924" s="27"/>
    </row>
    <row r="925">
      <c r="C925" s="26"/>
      <c r="D925" s="27"/>
      <c r="E925" s="27"/>
      <c r="F925" s="27"/>
      <c r="G925" s="27"/>
      <c r="H925" s="27"/>
      <c r="I925" s="27"/>
      <c r="J925" s="27"/>
    </row>
    <row r="926">
      <c r="C926" s="26"/>
      <c r="D926" s="27"/>
      <c r="E926" s="27"/>
      <c r="F926" s="27"/>
      <c r="G926" s="27"/>
      <c r="H926" s="27"/>
      <c r="I926" s="27"/>
      <c r="J926" s="27"/>
    </row>
    <row r="927">
      <c r="C927" s="26"/>
      <c r="D927" s="27"/>
      <c r="E927" s="27"/>
      <c r="F927" s="27"/>
      <c r="G927" s="27"/>
      <c r="H927" s="27"/>
      <c r="I927" s="27"/>
      <c r="J927" s="27"/>
    </row>
    <row r="928">
      <c r="C928" s="26"/>
      <c r="D928" s="27"/>
      <c r="E928" s="27"/>
      <c r="F928" s="27"/>
      <c r="G928" s="27"/>
      <c r="H928" s="27"/>
      <c r="I928" s="27"/>
      <c r="J928" s="27"/>
    </row>
    <row r="929">
      <c r="C929" s="26"/>
      <c r="D929" s="27"/>
      <c r="E929" s="27"/>
      <c r="F929" s="27"/>
      <c r="G929" s="27"/>
      <c r="H929" s="27"/>
      <c r="I929" s="27"/>
      <c r="J929" s="27"/>
    </row>
    <row r="930">
      <c r="C930" s="26"/>
      <c r="D930" s="27"/>
      <c r="E930" s="27"/>
      <c r="F930" s="27"/>
      <c r="G930" s="27"/>
      <c r="H930" s="27"/>
      <c r="I930" s="27"/>
      <c r="J930" s="27"/>
    </row>
    <row r="931">
      <c r="C931" s="26"/>
      <c r="D931" s="27"/>
      <c r="E931" s="27"/>
      <c r="F931" s="27"/>
      <c r="G931" s="27"/>
      <c r="H931" s="27"/>
      <c r="I931" s="27"/>
      <c r="J931" s="27"/>
    </row>
    <row r="932">
      <c r="C932" s="26"/>
      <c r="D932" s="27"/>
      <c r="E932" s="27"/>
      <c r="F932" s="27"/>
      <c r="G932" s="27"/>
      <c r="H932" s="27"/>
      <c r="I932" s="27"/>
      <c r="J932" s="27"/>
    </row>
    <row r="933">
      <c r="C933" s="26"/>
      <c r="D933" s="27"/>
      <c r="E933" s="27"/>
      <c r="F933" s="27"/>
      <c r="G933" s="27"/>
      <c r="H933" s="27"/>
      <c r="I933" s="27"/>
      <c r="J933" s="27"/>
    </row>
    <row r="934">
      <c r="C934" s="26"/>
      <c r="D934" s="27"/>
      <c r="E934" s="27"/>
      <c r="F934" s="27"/>
      <c r="G934" s="27"/>
      <c r="H934" s="27"/>
      <c r="I934" s="27"/>
      <c r="J934" s="27"/>
    </row>
    <row r="935">
      <c r="C935" s="26"/>
      <c r="D935" s="27"/>
      <c r="E935" s="27"/>
      <c r="F935" s="27"/>
      <c r="G935" s="27"/>
      <c r="H935" s="27"/>
      <c r="I935" s="27"/>
      <c r="J935" s="27"/>
    </row>
    <row r="936">
      <c r="C936" s="26"/>
      <c r="D936" s="27"/>
      <c r="E936" s="27"/>
      <c r="F936" s="27"/>
      <c r="G936" s="27"/>
      <c r="H936" s="27"/>
      <c r="I936" s="27"/>
      <c r="J936" s="27"/>
    </row>
    <row r="937">
      <c r="C937" s="26"/>
      <c r="D937" s="27"/>
      <c r="E937" s="27"/>
      <c r="F937" s="27"/>
      <c r="G937" s="27"/>
      <c r="H937" s="27"/>
      <c r="I937" s="27"/>
      <c r="J937" s="27"/>
    </row>
    <row r="938">
      <c r="C938" s="26"/>
      <c r="D938" s="27"/>
      <c r="E938" s="27"/>
      <c r="F938" s="27"/>
      <c r="G938" s="27"/>
      <c r="H938" s="27"/>
      <c r="I938" s="27"/>
      <c r="J938" s="27"/>
    </row>
    <row r="939">
      <c r="C939" s="26"/>
      <c r="D939" s="27"/>
      <c r="E939" s="27"/>
      <c r="F939" s="27"/>
      <c r="G939" s="27"/>
      <c r="H939" s="27"/>
      <c r="I939" s="27"/>
      <c r="J939" s="27"/>
    </row>
    <row r="940">
      <c r="C940" s="26"/>
      <c r="D940" s="27"/>
      <c r="E940" s="27"/>
      <c r="F940" s="27"/>
      <c r="G940" s="27"/>
      <c r="H940" s="27"/>
      <c r="I940" s="27"/>
      <c r="J940" s="27"/>
    </row>
    <row r="941">
      <c r="C941" s="26"/>
      <c r="D941" s="27"/>
      <c r="E941" s="27"/>
      <c r="F941" s="27"/>
      <c r="G941" s="27"/>
      <c r="H941" s="27"/>
      <c r="I941" s="27"/>
      <c r="J941" s="27"/>
    </row>
    <row r="942">
      <c r="C942" s="26"/>
      <c r="D942" s="27"/>
      <c r="E942" s="27"/>
      <c r="F942" s="27"/>
      <c r="G942" s="27"/>
      <c r="H942" s="27"/>
      <c r="I942" s="27"/>
      <c r="J942" s="27"/>
    </row>
    <row r="943">
      <c r="C943" s="26"/>
      <c r="D943" s="27"/>
      <c r="E943" s="27"/>
      <c r="F943" s="27"/>
      <c r="G943" s="27"/>
      <c r="H943" s="27"/>
      <c r="I943" s="27"/>
      <c r="J943" s="27"/>
    </row>
    <row r="944">
      <c r="C944" s="26"/>
      <c r="D944" s="27"/>
      <c r="E944" s="27"/>
      <c r="F944" s="27"/>
      <c r="G944" s="27"/>
      <c r="H944" s="27"/>
      <c r="I944" s="27"/>
      <c r="J944" s="27"/>
    </row>
    <row r="945">
      <c r="C945" s="26"/>
      <c r="D945" s="27"/>
      <c r="E945" s="27"/>
      <c r="F945" s="27"/>
      <c r="G945" s="27"/>
      <c r="H945" s="27"/>
      <c r="I945" s="27"/>
      <c r="J945" s="27"/>
    </row>
    <row r="946">
      <c r="C946" s="26"/>
      <c r="D946" s="27"/>
      <c r="E946" s="27"/>
      <c r="F946" s="27"/>
      <c r="G946" s="27"/>
      <c r="H946" s="27"/>
      <c r="I946" s="27"/>
      <c r="J946" s="27"/>
    </row>
    <row r="947">
      <c r="C947" s="26"/>
      <c r="D947" s="27"/>
      <c r="E947" s="27"/>
      <c r="F947" s="27"/>
      <c r="G947" s="27"/>
      <c r="H947" s="27"/>
      <c r="I947" s="27"/>
      <c r="J947" s="27"/>
    </row>
    <row r="948">
      <c r="C948" s="26"/>
      <c r="D948" s="27"/>
      <c r="E948" s="27"/>
      <c r="F948" s="27"/>
      <c r="G948" s="27"/>
      <c r="H948" s="27"/>
      <c r="I948" s="27"/>
      <c r="J948" s="27"/>
    </row>
    <row r="949">
      <c r="C949" s="26"/>
      <c r="D949" s="27"/>
      <c r="E949" s="27"/>
      <c r="F949" s="27"/>
      <c r="G949" s="27"/>
      <c r="H949" s="27"/>
      <c r="I949" s="27"/>
      <c r="J949" s="27"/>
    </row>
    <row r="950">
      <c r="C950" s="26"/>
      <c r="D950" s="27"/>
      <c r="E950" s="27"/>
      <c r="F950" s="27"/>
      <c r="G950" s="27"/>
      <c r="H950" s="27"/>
      <c r="I950" s="27"/>
      <c r="J950" s="27"/>
    </row>
    <row r="951">
      <c r="C951" s="26"/>
      <c r="D951" s="27"/>
      <c r="E951" s="27"/>
      <c r="F951" s="27"/>
      <c r="G951" s="27"/>
      <c r="H951" s="27"/>
      <c r="I951" s="27"/>
      <c r="J951" s="27"/>
    </row>
    <row r="952">
      <c r="C952" s="26"/>
      <c r="D952" s="27"/>
      <c r="E952" s="27"/>
      <c r="F952" s="27"/>
      <c r="G952" s="27"/>
      <c r="H952" s="27"/>
      <c r="I952" s="27"/>
      <c r="J952" s="27"/>
    </row>
    <row r="953">
      <c r="C953" s="26"/>
      <c r="D953" s="27"/>
      <c r="E953" s="27"/>
      <c r="F953" s="27"/>
      <c r="G953" s="27"/>
      <c r="H953" s="27"/>
      <c r="I953" s="27"/>
      <c r="J953" s="27"/>
    </row>
    <row r="954">
      <c r="C954" s="26"/>
      <c r="D954" s="27"/>
      <c r="E954" s="27"/>
      <c r="F954" s="27"/>
      <c r="G954" s="27"/>
      <c r="H954" s="27"/>
      <c r="I954" s="27"/>
      <c r="J954" s="27"/>
    </row>
    <row r="955">
      <c r="C955" s="26"/>
      <c r="D955" s="27"/>
      <c r="E955" s="27"/>
      <c r="F955" s="27"/>
      <c r="G955" s="27"/>
      <c r="H955" s="27"/>
      <c r="I955" s="27"/>
      <c r="J955" s="27"/>
    </row>
    <row r="956">
      <c r="C956" s="26"/>
      <c r="D956" s="27"/>
      <c r="E956" s="27"/>
      <c r="F956" s="27"/>
      <c r="G956" s="27"/>
      <c r="H956" s="27"/>
      <c r="I956" s="27"/>
      <c r="J956" s="27"/>
    </row>
    <row r="957">
      <c r="C957" s="26"/>
      <c r="D957" s="27"/>
      <c r="E957" s="27"/>
      <c r="F957" s="27"/>
      <c r="G957" s="27"/>
      <c r="H957" s="27"/>
      <c r="I957" s="27"/>
      <c r="J957" s="27"/>
    </row>
    <row r="958">
      <c r="C958" s="26"/>
      <c r="D958" s="27"/>
      <c r="E958" s="27"/>
      <c r="F958" s="27"/>
      <c r="G958" s="27"/>
      <c r="H958" s="27"/>
      <c r="I958" s="27"/>
      <c r="J958" s="27"/>
    </row>
    <row r="959">
      <c r="C959" s="26"/>
      <c r="D959" s="27"/>
      <c r="E959" s="27"/>
      <c r="F959" s="27"/>
      <c r="G959" s="27"/>
      <c r="H959" s="27"/>
      <c r="I959" s="27"/>
      <c r="J959" s="27"/>
    </row>
    <row r="960">
      <c r="C960" s="26"/>
      <c r="D960" s="27"/>
      <c r="E960" s="27"/>
      <c r="F960" s="27"/>
      <c r="G960" s="27"/>
      <c r="H960" s="27"/>
      <c r="I960" s="27"/>
      <c r="J960" s="27"/>
    </row>
    <row r="961">
      <c r="C961" s="26"/>
      <c r="D961" s="27"/>
      <c r="E961" s="27"/>
      <c r="F961" s="27"/>
      <c r="G961" s="27"/>
      <c r="H961" s="27"/>
      <c r="I961" s="27"/>
      <c r="J961" s="27"/>
    </row>
    <row r="962">
      <c r="C962" s="26"/>
      <c r="D962" s="27"/>
      <c r="E962" s="27"/>
      <c r="F962" s="27"/>
      <c r="G962" s="27"/>
      <c r="H962" s="27"/>
      <c r="I962" s="27"/>
      <c r="J962" s="27"/>
    </row>
    <row r="963">
      <c r="C963" s="26"/>
      <c r="D963" s="27"/>
      <c r="E963" s="27"/>
      <c r="F963" s="27"/>
      <c r="G963" s="27"/>
      <c r="H963" s="27"/>
      <c r="I963" s="27"/>
      <c r="J963" s="27"/>
    </row>
    <row r="964">
      <c r="C964" s="26"/>
      <c r="D964" s="27"/>
      <c r="E964" s="27"/>
      <c r="F964" s="27"/>
      <c r="G964" s="27"/>
      <c r="H964" s="27"/>
      <c r="I964" s="27"/>
      <c r="J964" s="27"/>
    </row>
    <row r="965">
      <c r="C965" s="26"/>
      <c r="D965" s="27"/>
      <c r="E965" s="27"/>
      <c r="F965" s="27"/>
      <c r="G965" s="27"/>
      <c r="H965" s="27"/>
      <c r="I965" s="27"/>
      <c r="J965" s="27"/>
    </row>
    <row r="966">
      <c r="C966" s="26"/>
      <c r="D966" s="27"/>
      <c r="E966" s="27"/>
      <c r="F966" s="27"/>
      <c r="G966" s="27"/>
      <c r="H966" s="27"/>
      <c r="I966" s="27"/>
      <c r="J966" s="27"/>
    </row>
    <row r="967">
      <c r="C967" s="26"/>
      <c r="D967" s="27"/>
      <c r="E967" s="27"/>
      <c r="F967" s="27"/>
      <c r="G967" s="27"/>
      <c r="H967" s="27"/>
      <c r="I967" s="27"/>
      <c r="J967" s="27"/>
    </row>
    <row r="968">
      <c r="C968" s="26"/>
      <c r="D968" s="27"/>
      <c r="E968" s="27"/>
      <c r="F968" s="27"/>
      <c r="G968" s="27"/>
      <c r="H968" s="27"/>
      <c r="I968" s="27"/>
      <c r="J968" s="27"/>
    </row>
    <row r="969">
      <c r="C969" s="26"/>
      <c r="D969" s="27"/>
      <c r="E969" s="27"/>
      <c r="F969" s="27"/>
      <c r="G969" s="27"/>
      <c r="H969" s="27"/>
      <c r="I969" s="27"/>
      <c r="J969" s="27"/>
    </row>
    <row r="970">
      <c r="C970" s="26"/>
      <c r="D970" s="27"/>
      <c r="E970" s="27"/>
      <c r="F970" s="27"/>
      <c r="G970" s="27"/>
      <c r="H970" s="27"/>
      <c r="I970" s="27"/>
      <c r="J970" s="27"/>
    </row>
    <row r="971">
      <c r="C971" s="26"/>
      <c r="D971" s="27"/>
      <c r="E971" s="27"/>
      <c r="F971" s="27"/>
      <c r="G971" s="27"/>
      <c r="H971" s="27"/>
      <c r="I971" s="27"/>
      <c r="J971" s="27"/>
    </row>
    <row r="972">
      <c r="C972" s="26"/>
      <c r="D972" s="27"/>
      <c r="E972" s="27"/>
      <c r="F972" s="27"/>
      <c r="G972" s="27"/>
      <c r="H972" s="27"/>
      <c r="I972" s="27"/>
      <c r="J972" s="27"/>
    </row>
    <row r="973">
      <c r="C973" s="26"/>
      <c r="D973" s="27"/>
      <c r="E973" s="27"/>
      <c r="F973" s="27"/>
      <c r="G973" s="27"/>
      <c r="H973" s="27"/>
      <c r="I973" s="27"/>
      <c r="J973" s="27"/>
    </row>
    <row r="974">
      <c r="C974" s="26"/>
      <c r="D974" s="27"/>
      <c r="E974" s="27"/>
      <c r="F974" s="27"/>
      <c r="G974" s="27"/>
      <c r="H974" s="27"/>
      <c r="I974" s="27"/>
      <c r="J974" s="27"/>
    </row>
    <row r="975">
      <c r="C975" s="26"/>
      <c r="D975" s="27"/>
      <c r="E975" s="27"/>
      <c r="F975" s="27"/>
      <c r="G975" s="27"/>
      <c r="H975" s="27"/>
      <c r="I975" s="27"/>
      <c r="J975" s="27"/>
    </row>
    <row r="976">
      <c r="C976" s="26"/>
      <c r="D976" s="27"/>
      <c r="E976" s="27"/>
      <c r="F976" s="27"/>
      <c r="G976" s="27"/>
      <c r="H976" s="27"/>
      <c r="I976" s="27"/>
      <c r="J976" s="27"/>
    </row>
    <row r="977">
      <c r="C977" s="26"/>
      <c r="D977" s="27"/>
      <c r="E977" s="27"/>
      <c r="F977" s="27"/>
      <c r="G977" s="27"/>
      <c r="H977" s="27"/>
      <c r="I977" s="27"/>
      <c r="J977" s="27"/>
    </row>
    <row r="978">
      <c r="C978" s="26"/>
      <c r="D978" s="27"/>
      <c r="E978" s="27"/>
      <c r="F978" s="27"/>
      <c r="G978" s="27"/>
      <c r="H978" s="27"/>
      <c r="I978" s="27"/>
      <c r="J978" s="27"/>
    </row>
    <row r="979">
      <c r="C979" s="26"/>
      <c r="D979" s="27"/>
      <c r="E979" s="27"/>
      <c r="F979" s="27"/>
      <c r="G979" s="27"/>
      <c r="H979" s="27"/>
      <c r="I979" s="27"/>
      <c r="J979" s="27"/>
    </row>
    <row r="980">
      <c r="C980" s="26"/>
      <c r="D980" s="27"/>
      <c r="E980" s="27"/>
      <c r="F980" s="27"/>
      <c r="G980" s="27"/>
      <c r="H980" s="27"/>
      <c r="I980" s="27"/>
      <c r="J980" s="27"/>
    </row>
    <row r="981">
      <c r="C981" s="26"/>
      <c r="D981" s="27"/>
      <c r="E981" s="27"/>
      <c r="F981" s="27"/>
      <c r="G981" s="27"/>
      <c r="H981" s="27"/>
      <c r="I981" s="27"/>
      <c r="J981" s="27"/>
    </row>
    <row r="982">
      <c r="C982" s="26"/>
      <c r="D982" s="27"/>
      <c r="E982" s="27"/>
      <c r="F982" s="27"/>
      <c r="G982" s="27"/>
      <c r="H982" s="27"/>
      <c r="I982" s="27"/>
      <c r="J982" s="27"/>
    </row>
    <row r="983">
      <c r="C983" s="26"/>
      <c r="D983" s="27"/>
      <c r="E983" s="27"/>
      <c r="F983" s="27"/>
      <c r="G983" s="27"/>
      <c r="H983" s="27"/>
      <c r="I983" s="27"/>
      <c r="J983" s="27"/>
    </row>
    <row r="984">
      <c r="C984" s="26"/>
      <c r="D984" s="27"/>
      <c r="E984" s="27"/>
      <c r="F984" s="27"/>
      <c r="G984" s="27"/>
      <c r="H984" s="27"/>
      <c r="I984" s="27"/>
      <c r="J984" s="27"/>
    </row>
    <row r="985">
      <c r="C985" s="26"/>
      <c r="D985" s="27"/>
      <c r="E985" s="27"/>
      <c r="F985" s="27"/>
      <c r="G985" s="27"/>
      <c r="H985" s="27"/>
      <c r="I985" s="27"/>
      <c r="J985" s="27"/>
    </row>
    <row r="986">
      <c r="C986" s="26"/>
      <c r="D986" s="27"/>
      <c r="E986" s="27"/>
      <c r="F986" s="27"/>
      <c r="G986" s="27"/>
      <c r="H986" s="27"/>
      <c r="I986" s="27"/>
      <c r="J986" s="27"/>
    </row>
    <row r="987">
      <c r="C987" s="26"/>
      <c r="D987" s="27"/>
      <c r="E987" s="27"/>
      <c r="F987" s="27"/>
      <c r="G987" s="27"/>
      <c r="H987" s="27"/>
      <c r="I987" s="27"/>
      <c r="J987" s="27"/>
    </row>
    <row r="988">
      <c r="C988" s="26"/>
      <c r="D988" s="27"/>
      <c r="E988" s="27"/>
      <c r="F988" s="27"/>
      <c r="G988" s="27"/>
      <c r="H988" s="27"/>
      <c r="I988" s="27"/>
      <c r="J988" s="27"/>
    </row>
    <row r="989">
      <c r="C989" s="26"/>
      <c r="D989" s="27"/>
      <c r="E989" s="27"/>
      <c r="F989" s="27"/>
      <c r="G989" s="27"/>
      <c r="H989" s="27"/>
      <c r="I989" s="27"/>
      <c r="J989" s="27"/>
    </row>
    <row r="990">
      <c r="C990" s="26"/>
      <c r="D990" s="27"/>
      <c r="E990" s="27"/>
      <c r="F990" s="27"/>
      <c r="G990" s="27"/>
      <c r="H990" s="27"/>
      <c r="I990" s="27"/>
      <c r="J990" s="27"/>
    </row>
    <row r="991">
      <c r="C991" s="26"/>
      <c r="D991" s="27"/>
      <c r="E991" s="27"/>
      <c r="F991" s="27"/>
      <c r="G991" s="27"/>
      <c r="H991" s="27"/>
      <c r="I991" s="27"/>
      <c r="J991" s="27"/>
    </row>
    <row r="992">
      <c r="C992" s="26"/>
      <c r="D992" s="27"/>
      <c r="E992" s="27"/>
      <c r="F992" s="27"/>
      <c r="G992" s="27"/>
      <c r="H992" s="27"/>
      <c r="I992" s="27"/>
      <c r="J992" s="27"/>
    </row>
    <row r="993">
      <c r="C993" s="26"/>
      <c r="D993" s="27"/>
      <c r="E993" s="27"/>
      <c r="F993" s="27"/>
      <c r="G993" s="27"/>
      <c r="H993" s="27"/>
      <c r="I993" s="27"/>
      <c r="J993" s="27"/>
    </row>
    <row r="994">
      <c r="C994" s="26"/>
      <c r="D994" s="27"/>
      <c r="E994" s="27"/>
      <c r="F994" s="27"/>
      <c r="G994" s="27"/>
      <c r="H994" s="27"/>
      <c r="I994" s="27"/>
      <c r="J994" s="27"/>
    </row>
    <row r="995">
      <c r="C995" s="26"/>
      <c r="D995" s="27"/>
      <c r="E995" s="27"/>
      <c r="F995" s="27"/>
      <c r="G995" s="27"/>
      <c r="H995" s="27"/>
      <c r="I995" s="27"/>
      <c r="J995" s="27"/>
    </row>
    <row r="996">
      <c r="C996" s="26"/>
      <c r="D996" s="27"/>
      <c r="E996" s="27"/>
      <c r="F996" s="27"/>
      <c r="G996" s="27"/>
      <c r="H996" s="27"/>
      <c r="I996" s="27"/>
      <c r="J996" s="27"/>
    </row>
    <row r="997">
      <c r="C997" s="26"/>
      <c r="D997" s="27"/>
      <c r="E997" s="27"/>
      <c r="F997" s="27"/>
      <c r="G997" s="27"/>
      <c r="H997" s="27"/>
      <c r="I997" s="27"/>
      <c r="J997" s="27"/>
    </row>
    <row r="998">
      <c r="C998" s="26"/>
      <c r="D998" s="27"/>
      <c r="E998" s="27"/>
      <c r="F998" s="27"/>
      <c r="G998" s="27"/>
      <c r="H998" s="27"/>
      <c r="I998" s="27"/>
      <c r="J998" s="27"/>
    </row>
    <row r="999">
      <c r="C999" s="26"/>
      <c r="D999" s="27"/>
      <c r="E999" s="27"/>
      <c r="F999" s="27"/>
      <c r="G999" s="27"/>
      <c r="H999" s="27"/>
      <c r="I999" s="27"/>
      <c r="J999" s="27"/>
    </row>
    <row r="1000">
      <c r="C1000" s="26"/>
      <c r="D1000" s="27"/>
      <c r="E1000" s="27"/>
      <c r="F1000" s="27"/>
      <c r="G1000" s="27"/>
      <c r="H1000" s="27"/>
      <c r="I1000" s="27"/>
      <c r="J1000" s="27"/>
    </row>
  </sheetData>
  <mergeCells count="1">
    <mergeCell ref="N6:N7"/>
  </mergeCells>
  <drawing r:id="rId1"/>
</worksheet>
</file>